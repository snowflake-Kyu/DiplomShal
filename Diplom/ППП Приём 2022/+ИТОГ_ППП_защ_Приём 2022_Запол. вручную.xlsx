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24226"/>
  <bookViews>
    <workbookView xWindow="-120" yWindow="-120" windowWidth="12510" windowHeight="9435"/>
  </bookViews>
  <sheets>
    <sheet name="Уровень сфори. ОК и ПК" sheetId="6" r:id="rId1"/>
    <sheet name="Лист1" sheetId="7" r:id="rId2"/>
  </sheets>
  <calcPr calcId="162913"/>
</workbook>
</file>

<file path=xl/calcChain.xml><?xml version="1.0" encoding="utf-8"?>
<calcChain xmlns="http://schemas.openxmlformats.org/spreadsheetml/2006/main">
  <c r="CF7" i="6" l="1"/>
  <c r="CG7" i="6"/>
  <c r="CH7" i="6"/>
  <c r="CF8" i="6"/>
  <c r="CG8" i="6"/>
  <c r="CH8" i="6"/>
  <c r="CF9" i="6"/>
  <c r="CG9" i="6"/>
  <c r="CH9" i="6"/>
  <c r="CF10" i="6"/>
  <c r="CG10" i="6"/>
  <c r="CH10" i="6"/>
  <c r="CF17" i="6"/>
  <c r="CG17" i="6"/>
  <c r="CH17" i="6"/>
  <c r="CF18" i="6"/>
  <c r="CG18" i="6"/>
  <c r="CH18" i="6"/>
  <c r="CF19" i="6"/>
  <c r="CG19" i="6"/>
  <c r="CH19" i="6"/>
  <c r="CF20" i="6"/>
  <c r="CG20" i="6"/>
  <c r="CH20" i="6"/>
  <c r="CF21" i="6"/>
  <c r="CG21" i="6"/>
  <c r="CH21" i="6"/>
  <c r="CF22" i="6"/>
  <c r="CG22" i="6"/>
  <c r="CH22" i="6"/>
  <c r="CF23" i="6"/>
  <c r="CG23" i="6"/>
  <c r="CH23" i="6"/>
  <c r="CF29" i="6"/>
  <c r="CG29" i="6"/>
  <c r="CH29" i="6"/>
  <c r="CF30" i="6"/>
  <c r="CG30" i="6"/>
  <c r="CH30" i="6"/>
  <c r="CF31" i="6"/>
  <c r="CG31" i="6"/>
  <c r="CH31" i="6"/>
  <c r="CF32" i="6"/>
  <c r="CG32" i="6"/>
  <c r="CH32" i="6"/>
  <c r="CF33" i="6"/>
  <c r="CG33" i="6"/>
  <c r="CH33" i="6"/>
  <c r="CF39" i="6"/>
  <c r="CF40" i="6"/>
  <c r="CG40" i="6"/>
  <c r="CH40" i="6"/>
  <c r="CF41" i="6"/>
  <c r="CG41" i="6"/>
  <c r="CH41" i="6"/>
  <c r="CF42" i="6"/>
  <c r="CG42" i="6"/>
  <c r="CH42" i="6"/>
  <c r="CF43" i="6"/>
  <c r="CG43" i="6"/>
  <c r="CH43" i="6"/>
  <c r="E46" i="6" l="1"/>
  <c r="C46" i="6"/>
  <c r="CE46" i="6"/>
  <c r="CD46" i="6"/>
  <c r="CC46" i="6"/>
  <c r="CB46" i="6"/>
  <c r="CA46" i="6"/>
  <c r="BZ46" i="6"/>
  <c r="BY46" i="6"/>
  <c r="BX46" i="6"/>
  <c r="BW46" i="6"/>
  <c r="BV46" i="6"/>
  <c r="BU46" i="6"/>
  <c r="BT46" i="6"/>
  <c r="BS46" i="6"/>
  <c r="BR46" i="6"/>
  <c r="BQ46" i="6"/>
  <c r="BP46" i="6"/>
  <c r="BO46" i="6"/>
  <c r="BN46" i="6"/>
  <c r="BM46" i="6"/>
  <c r="BL46" i="6"/>
  <c r="BK46" i="6"/>
  <c r="BJ46" i="6"/>
  <c r="BI46" i="6"/>
  <c r="BH46" i="6"/>
  <c r="BG46" i="6"/>
  <c r="BF46" i="6"/>
  <c r="BE46" i="6"/>
  <c r="BD46" i="6"/>
  <c r="BC46" i="6"/>
  <c r="BB46" i="6"/>
  <c r="BA46" i="6"/>
  <c r="AZ46" i="6"/>
  <c r="AY46" i="6"/>
  <c r="AX46" i="6"/>
  <c r="AW46" i="6"/>
  <c r="AV46" i="6"/>
  <c r="AU46" i="6"/>
  <c r="AT46" i="6"/>
  <c r="AS46" i="6"/>
  <c r="AR46" i="6"/>
  <c r="AQ46" i="6"/>
  <c r="AP46" i="6"/>
  <c r="AO46" i="6"/>
  <c r="AN46" i="6"/>
  <c r="AM46" i="6"/>
  <c r="AL46" i="6"/>
  <c r="AK46" i="6"/>
  <c r="AJ46" i="6"/>
  <c r="AI46" i="6"/>
  <c r="AH46" i="6"/>
  <c r="AG46" i="6"/>
  <c r="AF46" i="6"/>
  <c r="AE46" i="6"/>
  <c r="AD46" i="6"/>
  <c r="AC46" i="6"/>
  <c r="AB46" i="6"/>
  <c r="AA46" i="6"/>
  <c r="Z46" i="6"/>
  <c r="Y46" i="6"/>
  <c r="X46" i="6"/>
  <c r="W46" i="6"/>
  <c r="V46" i="6"/>
  <c r="U46" i="6"/>
  <c r="T46" i="6"/>
  <c r="S46" i="6"/>
  <c r="R46" i="6"/>
  <c r="Q46" i="6"/>
  <c r="P46" i="6"/>
  <c r="O46" i="6"/>
  <c r="N46" i="6"/>
  <c r="M46" i="6"/>
  <c r="L46" i="6"/>
  <c r="K46" i="6"/>
  <c r="J46" i="6"/>
  <c r="I46" i="6"/>
  <c r="H46" i="6"/>
  <c r="G46" i="6"/>
  <c r="F46" i="6"/>
  <c r="D46" i="6"/>
  <c r="CH45" i="6"/>
  <c r="CG45" i="6"/>
  <c r="CF45" i="6"/>
  <c r="CH44" i="6"/>
  <c r="CG44" i="6"/>
  <c r="CF44" i="6"/>
  <c r="CH39" i="6"/>
  <c r="CG39" i="6"/>
  <c r="CH38" i="6"/>
  <c r="CG38" i="6"/>
  <c r="CF38" i="6"/>
  <c r="CH46" i="6" l="1"/>
  <c r="CG46" i="6"/>
  <c r="CJ46" i="6"/>
  <c r="CF46" i="6"/>
  <c r="BJ73" i="6"/>
  <c r="BI73" i="6"/>
  <c r="BH73" i="6"/>
  <c r="BJ70" i="6"/>
  <c r="BI70" i="6"/>
  <c r="BH70" i="6"/>
  <c r="BJ67" i="6"/>
  <c r="BI67" i="6"/>
  <c r="BH67" i="6"/>
  <c r="BJ64" i="6"/>
  <c r="BI64" i="6"/>
  <c r="BH64" i="6"/>
  <c r="BJ61" i="6"/>
  <c r="BI61" i="6"/>
  <c r="BH61" i="6"/>
  <c r="BJ59" i="6"/>
  <c r="BI59" i="6"/>
  <c r="BH59" i="6"/>
  <c r="BJ56" i="6"/>
  <c r="BI56" i="6"/>
  <c r="BH56" i="6"/>
  <c r="BJ53" i="6"/>
  <c r="BI53" i="6"/>
  <c r="BH53" i="6"/>
  <c r="BJ50" i="6"/>
  <c r="BI50" i="6"/>
  <c r="BH50" i="6"/>
  <c r="BJ37" i="6"/>
  <c r="BI37" i="6"/>
  <c r="BH37" i="6"/>
  <c r="BJ27" i="6"/>
  <c r="BI27" i="6"/>
  <c r="BH27" i="6"/>
  <c r="BJ15" i="6"/>
  <c r="BI15" i="6"/>
  <c r="BH15" i="6"/>
  <c r="BH47" i="6" l="1"/>
  <c r="BI47" i="6"/>
  <c r="BJ47" i="6"/>
  <c r="BI74" i="6"/>
  <c r="BH74" i="6"/>
  <c r="BJ74" i="6"/>
  <c r="CF6" i="6"/>
  <c r="CG6" i="6"/>
  <c r="CH6" i="6"/>
  <c r="CF11" i="6"/>
  <c r="CG11" i="6"/>
  <c r="CH11" i="6"/>
  <c r="CF12" i="6"/>
  <c r="CG12" i="6"/>
  <c r="CH12" i="6"/>
  <c r="CF49" i="6"/>
  <c r="CG49" i="6"/>
  <c r="CH49" i="6"/>
  <c r="CF51" i="6"/>
  <c r="CG51" i="6"/>
  <c r="CH51" i="6"/>
  <c r="CF52" i="6"/>
  <c r="CG52" i="6"/>
  <c r="CH52" i="6"/>
  <c r="CF54" i="6"/>
  <c r="CG54" i="6"/>
  <c r="CH54" i="6"/>
  <c r="CF55" i="6"/>
  <c r="CG55" i="6"/>
  <c r="CH55" i="6"/>
  <c r="CF57" i="6"/>
  <c r="CG57" i="6"/>
  <c r="CH57" i="6"/>
  <c r="CF58" i="6"/>
  <c r="CG58" i="6"/>
  <c r="CH58" i="6"/>
  <c r="CF60" i="6"/>
  <c r="CG60" i="6"/>
  <c r="CH60" i="6"/>
  <c r="CJ61" i="6" s="1"/>
  <c r="CF62" i="6"/>
  <c r="CG62" i="6"/>
  <c r="CH62" i="6"/>
  <c r="CF63" i="6"/>
  <c r="CG63" i="6"/>
  <c r="CH63" i="6"/>
  <c r="CF65" i="6"/>
  <c r="CG65" i="6"/>
  <c r="CH65" i="6"/>
  <c r="CF66" i="6"/>
  <c r="CG66" i="6"/>
  <c r="CH66" i="6"/>
  <c r="CF68" i="6"/>
  <c r="CG68" i="6"/>
  <c r="CH68" i="6"/>
  <c r="CF69" i="6"/>
  <c r="CG69" i="6"/>
  <c r="CH69" i="6"/>
  <c r="CF71" i="6"/>
  <c r="CG71" i="6"/>
  <c r="CH71" i="6"/>
  <c r="CF72" i="6"/>
  <c r="CG72" i="6"/>
  <c r="CH72" i="6"/>
  <c r="CH48" i="6"/>
  <c r="CG48" i="6"/>
  <c r="CF48" i="6"/>
  <c r="CF14" i="6"/>
  <c r="CG14" i="6"/>
  <c r="CH14" i="6"/>
  <c r="CF16" i="6"/>
  <c r="CG16" i="6"/>
  <c r="CH16" i="6"/>
  <c r="CF24" i="6"/>
  <c r="CG24" i="6"/>
  <c r="CH24" i="6"/>
  <c r="CF25" i="6"/>
  <c r="CG25" i="6"/>
  <c r="CH25" i="6"/>
  <c r="CF26" i="6"/>
  <c r="CG26" i="6"/>
  <c r="CH26" i="6"/>
  <c r="CF28" i="6"/>
  <c r="CG28" i="6"/>
  <c r="CH28" i="6"/>
  <c r="CF34" i="6"/>
  <c r="CG34" i="6"/>
  <c r="CH34" i="6"/>
  <c r="CF35" i="6"/>
  <c r="CG35" i="6"/>
  <c r="CH35" i="6"/>
  <c r="CF36" i="6"/>
  <c r="CG36" i="6"/>
  <c r="CH36" i="6"/>
  <c r="CF13" i="6"/>
  <c r="CG13" i="6"/>
  <c r="CH13" i="6"/>
  <c r="CG5" i="6"/>
  <c r="CH5" i="6"/>
  <c r="CF5" i="6"/>
  <c r="BH75" i="6" l="1"/>
  <c r="CJ73" i="6"/>
  <c r="CJ70" i="6"/>
  <c r="CJ67" i="6"/>
  <c r="CJ64" i="6"/>
  <c r="CJ59" i="6"/>
  <c r="CJ56" i="6"/>
  <c r="CJ53" i="6"/>
  <c r="BI75" i="6"/>
  <c r="CJ50" i="6"/>
  <c r="BJ75" i="6"/>
  <c r="CJ37" i="6"/>
  <c r="CJ27" i="6"/>
  <c r="CJ15" i="6"/>
  <c r="CE70" i="6"/>
  <c r="CD70" i="6"/>
  <c r="CC70" i="6"/>
  <c r="CB70" i="6"/>
  <c r="CA70" i="6"/>
  <c r="BZ70" i="6"/>
  <c r="BY70" i="6"/>
  <c r="BX70" i="6"/>
  <c r="BW70" i="6"/>
  <c r="BV70" i="6"/>
  <c r="BU70" i="6"/>
  <c r="BT70" i="6"/>
  <c r="BS70" i="6"/>
  <c r="BR70" i="6"/>
  <c r="BQ70" i="6"/>
  <c r="BP70" i="6"/>
  <c r="BO70" i="6"/>
  <c r="BN70" i="6"/>
  <c r="BM70" i="6"/>
  <c r="BL70" i="6"/>
  <c r="BK70" i="6"/>
  <c r="BG70" i="6"/>
  <c r="BF70" i="6"/>
  <c r="BE70" i="6"/>
  <c r="BD70" i="6"/>
  <c r="BC70" i="6"/>
  <c r="BB70" i="6"/>
  <c r="BA70" i="6"/>
  <c r="AZ70" i="6"/>
  <c r="AY70" i="6"/>
  <c r="AX70" i="6"/>
  <c r="AW70" i="6"/>
  <c r="AV70" i="6"/>
  <c r="AU70" i="6"/>
  <c r="AT70" i="6"/>
  <c r="AS70" i="6"/>
  <c r="AR70" i="6"/>
  <c r="AQ70" i="6"/>
  <c r="AP70" i="6"/>
  <c r="AO70" i="6"/>
  <c r="AN70" i="6"/>
  <c r="AM70" i="6"/>
  <c r="AL70" i="6"/>
  <c r="AK70" i="6"/>
  <c r="AJ70" i="6"/>
  <c r="AI70" i="6"/>
  <c r="AH70" i="6"/>
  <c r="AG70" i="6"/>
  <c r="AF70" i="6"/>
  <c r="AE70" i="6"/>
  <c r="AD70" i="6"/>
  <c r="AC70" i="6"/>
  <c r="AB70" i="6"/>
  <c r="AA70" i="6"/>
  <c r="Z70" i="6"/>
  <c r="Y70" i="6"/>
  <c r="X70" i="6"/>
  <c r="W70" i="6"/>
  <c r="V70" i="6"/>
  <c r="U70" i="6"/>
  <c r="T70" i="6"/>
  <c r="S70" i="6"/>
  <c r="R70" i="6"/>
  <c r="Q70" i="6"/>
  <c r="P70" i="6"/>
  <c r="O70" i="6"/>
  <c r="N70" i="6"/>
  <c r="M70" i="6"/>
  <c r="L70" i="6"/>
  <c r="K70" i="6"/>
  <c r="J70" i="6"/>
  <c r="I70" i="6"/>
  <c r="H70" i="6"/>
  <c r="G70" i="6"/>
  <c r="F70" i="6"/>
  <c r="E70" i="6"/>
  <c r="D70" i="6"/>
  <c r="C70" i="6"/>
  <c r="CE64" i="6"/>
  <c r="CD64" i="6"/>
  <c r="CC64" i="6"/>
  <c r="CB64" i="6"/>
  <c r="CA64" i="6"/>
  <c r="BZ64" i="6"/>
  <c r="BY64" i="6"/>
  <c r="BX64" i="6"/>
  <c r="BW64" i="6"/>
  <c r="BV64" i="6"/>
  <c r="BU64" i="6"/>
  <c r="BT64" i="6"/>
  <c r="BS64" i="6"/>
  <c r="BR64" i="6"/>
  <c r="BQ64" i="6"/>
  <c r="BP64" i="6"/>
  <c r="BO64" i="6"/>
  <c r="BN64" i="6"/>
  <c r="BM64" i="6"/>
  <c r="BL64" i="6"/>
  <c r="BK64" i="6"/>
  <c r="BG64" i="6"/>
  <c r="BF64" i="6"/>
  <c r="BE64" i="6"/>
  <c r="BD64" i="6"/>
  <c r="BC64" i="6"/>
  <c r="BB64" i="6"/>
  <c r="BA64" i="6"/>
  <c r="AZ64" i="6"/>
  <c r="AY64" i="6"/>
  <c r="AX64" i="6"/>
  <c r="AW64" i="6"/>
  <c r="AV64" i="6"/>
  <c r="AU64" i="6"/>
  <c r="AT64" i="6"/>
  <c r="AS64" i="6"/>
  <c r="AR64" i="6"/>
  <c r="AQ64" i="6"/>
  <c r="AP64" i="6"/>
  <c r="AO64" i="6"/>
  <c r="AN64" i="6"/>
  <c r="AM64" i="6"/>
  <c r="AL64" i="6"/>
  <c r="AK64" i="6"/>
  <c r="AJ64" i="6"/>
  <c r="AI64" i="6"/>
  <c r="AH64" i="6"/>
  <c r="AG64" i="6"/>
  <c r="AF64" i="6"/>
  <c r="AE64" i="6"/>
  <c r="AD64" i="6"/>
  <c r="AC64" i="6"/>
  <c r="AB64" i="6"/>
  <c r="AA64" i="6"/>
  <c r="Z64" i="6"/>
  <c r="Y64" i="6"/>
  <c r="X64" i="6"/>
  <c r="W64" i="6"/>
  <c r="V64" i="6"/>
  <c r="U64" i="6"/>
  <c r="T64" i="6"/>
  <c r="S64" i="6"/>
  <c r="R64" i="6"/>
  <c r="Q64" i="6"/>
  <c r="P64" i="6"/>
  <c r="O64" i="6"/>
  <c r="N64" i="6"/>
  <c r="M64" i="6"/>
  <c r="L64" i="6"/>
  <c r="K64" i="6"/>
  <c r="J64" i="6"/>
  <c r="I64" i="6"/>
  <c r="H64" i="6"/>
  <c r="G64" i="6"/>
  <c r="F64" i="6"/>
  <c r="E64" i="6"/>
  <c r="D64" i="6"/>
  <c r="C64" i="6"/>
  <c r="CE59" i="6"/>
  <c r="CB59" i="6"/>
  <c r="BY59" i="6"/>
  <c r="BV59" i="6"/>
  <c r="BS59" i="6"/>
  <c r="BP59" i="6"/>
  <c r="BM59" i="6"/>
  <c r="BG59" i="6"/>
  <c r="BD59" i="6"/>
  <c r="BA59" i="6"/>
  <c r="AX59" i="6"/>
  <c r="AU59" i="6"/>
  <c r="AR59" i="6"/>
  <c r="AO59" i="6"/>
  <c r="AL59" i="6"/>
  <c r="AI59" i="6"/>
  <c r="AF59" i="6"/>
  <c r="AC59" i="6"/>
  <c r="Z59" i="6"/>
  <c r="W59" i="6"/>
  <c r="T59" i="6"/>
  <c r="Q59" i="6"/>
  <c r="N59" i="6"/>
  <c r="K59" i="6"/>
  <c r="H59" i="6"/>
  <c r="E59" i="6"/>
  <c r="I59" i="6"/>
  <c r="J59" i="6"/>
  <c r="L59" i="6"/>
  <c r="M59" i="6"/>
  <c r="O59" i="6"/>
  <c r="P59" i="6"/>
  <c r="R59" i="6"/>
  <c r="S59" i="6"/>
  <c r="U59" i="6"/>
  <c r="V59" i="6"/>
  <c r="X59" i="6"/>
  <c r="Y59" i="6"/>
  <c r="AA59" i="6"/>
  <c r="AB59" i="6"/>
  <c r="AD59" i="6"/>
  <c r="AE59" i="6"/>
  <c r="AG59" i="6"/>
  <c r="AH59" i="6"/>
  <c r="AJ59" i="6"/>
  <c r="AK59" i="6"/>
  <c r="AM59" i="6"/>
  <c r="AN59" i="6"/>
  <c r="AP59" i="6"/>
  <c r="AQ59" i="6"/>
  <c r="AS59" i="6"/>
  <c r="AT59" i="6"/>
  <c r="AV59" i="6"/>
  <c r="AW59" i="6"/>
  <c r="AY59" i="6"/>
  <c r="AZ59" i="6"/>
  <c r="BB59" i="6"/>
  <c r="BC59" i="6"/>
  <c r="BE59" i="6"/>
  <c r="BF59" i="6"/>
  <c r="BK59" i="6"/>
  <c r="BL59" i="6"/>
  <c r="BN59" i="6"/>
  <c r="BO59" i="6"/>
  <c r="BQ59" i="6"/>
  <c r="BR59" i="6"/>
  <c r="BT59" i="6"/>
  <c r="BU59" i="6"/>
  <c r="BW59" i="6"/>
  <c r="BX59" i="6"/>
  <c r="BZ59" i="6"/>
  <c r="CA59" i="6"/>
  <c r="CC59" i="6"/>
  <c r="CD59" i="6"/>
  <c r="G59" i="6"/>
  <c r="F59" i="6"/>
  <c r="D59" i="6"/>
  <c r="C59" i="6"/>
  <c r="CH64" i="6" l="1"/>
  <c r="CG70" i="6"/>
  <c r="CH59" i="6"/>
  <c r="CH70" i="6"/>
  <c r="CF64" i="6"/>
  <c r="CG64" i="6"/>
  <c r="CF70" i="6"/>
  <c r="CG59" i="6"/>
  <c r="CF59" i="6"/>
  <c r="CE61" i="6"/>
  <c r="CB61" i="6"/>
  <c r="BY61" i="6"/>
  <c r="BV61" i="6"/>
  <c r="BS61" i="6"/>
  <c r="BP61" i="6"/>
  <c r="BM61" i="6"/>
  <c r="BG61" i="6"/>
  <c r="BD61" i="6"/>
  <c r="BA61" i="6"/>
  <c r="AX61" i="6"/>
  <c r="AU61" i="6"/>
  <c r="AR61" i="6"/>
  <c r="AO61" i="6"/>
  <c r="AL61" i="6"/>
  <c r="AI61" i="6"/>
  <c r="AF61" i="6"/>
  <c r="AC61" i="6"/>
  <c r="Z61" i="6"/>
  <c r="W61" i="6"/>
  <c r="T61" i="6"/>
  <c r="Q61" i="6"/>
  <c r="N61" i="6"/>
  <c r="K61" i="6"/>
  <c r="H61" i="6"/>
  <c r="CE56" i="6"/>
  <c r="CB56" i="6"/>
  <c r="BY56" i="6"/>
  <c r="BV56" i="6"/>
  <c r="BS56" i="6"/>
  <c r="BP56" i="6"/>
  <c r="BM56" i="6"/>
  <c r="BG56" i="6"/>
  <c r="BD56" i="6"/>
  <c r="BA56" i="6"/>
  <c r="AX56" i="6"/>
  <c r="AU56" i="6"/>
  <c r="AR56" i="6"/>
  <c r="AO56" i="6"/>
  <c r="AL56" i="6"/>
  <c r="AI56" i="6"/>
  <c r="AF56" i="6"/>
  <c r="AC56" i="6"/>
  <c r="Z56" i="6"/>
  <c r="W56" i="6"/>
  <c r="T56" i="6"/>
  <c r="Q56" i="6"/>
  <c r="N56" i="6"/>
  <c r="K56" i="6"/>
  <c r="H56" i="6"/>
  <c r="CE53" i="6"/>
  <c r="CB53" i="6"/>
  <c r="BY53" i="6"/>
  <c r="BV53" i="6"/>
  <c r="BS53" i="6"/>
  <c r="BP53" i="6"/>
  <c r="BM53" i="6"/>
  <c r="BG53" i="6"/>
  <c r="BD53" i="6"/>
  <c r="BA53" i="6"/>
  <c r="AX53" i="6"/>
  <c r="AU53" i="6"/>
  <c r="AR53" i="6"/>
  <c r="AO53" i="6"/>
  <c r="AL53" i="6"/>
  <c r="AI53" i="6"/>
  <c r="AF53" i="6"/>
  <c r="AC53" i="6"/>
  <c r="Z53" i="6"/>
  <c r="W53" i="6"/>
  <c r="T53" i="6"/>
  <c r="Q53" i="6"/>
  <c r="N53" i="6"/>
  <c r="K53" i="6"/>
  <c r="H53" i="6"/>
  <c r="CE50" i="6"/>
  <c r="CB50" i="6"/>
  <c r="BY50" i="6"/>
  <c r="BV50" i="6"/>
  <c r="BS50" i="6"/>
  <c r="BP50" i="6"/>
  <c r="BM50" i="6"/>
  <c r="BG50" i="6"/>
  <c r="BD50" i="6"/>
  <c r="BA50" i="6"/>
  <c r="AX50" i="6"/>
  <c r="AU50" i="6"/>
  <c r="AR50" i="6"/>
  <c r="AO50" i="6"/>
  <c r="AL50" i="6"/>
  <c r="AI50" i="6"/>
  <c r="AF50" i="6"/>
  <c r="AC50" i="6"/>
  <c r="Z50" i="6"/>
  <c r="W50" i="6"/>
  <c r="T50" i="6"/>
  <c r="Q50" i="6"/>
  <c r="N50" i="6"/>
  <c r="K50" i="6"/>
  <c r="H50" i="6"/>
  <c r="CE37" i="6"/>
  <c r="CB37" i="6"/>
  <c r="BY37" i="6"/>
  <c r="BV37" i="6"/>
  <c r="BS37" i="6"/>
  <c r="BP37" i="6"/>
  <c r="BM37" i="6"/>
  <c r="BG37" i="6"/>
  <c r="BD37" i="6"/>
  <c r="BA37" i="6"/>
  <c r="AX37" i="6"/>
  <c r="AU37" i="6"/>
  <c r="AR37" i="6"/>
  <c r="AO37" i="6"/>
  <c r="AL37" i="6"/>
  <c r="AI37" i="6"/>
  <c r="AF37" i="6"/>
  <c r="AC37" i="6"/>
  <c r="Z37" i="6"/>
  <c r="W37" i="6"/>
  <c r="T37" i="6"/>
  <c r="Q37" i="6"/>
  <c r="N37" i="6"/>
  <c r="K37" i="6"/>
  <c r="H37" i="6"/>
  <c r="CE27" i="6"/>
  <c r="CB27" i="6"/>
  <c r="BY27" i="6"/>
  <c r="BV27" i="6"/>
  <c r="BS27" i="6"/>
  <c r="BP27" i="6"/>
  <c r="BM27" i="6"/>
  <c r="BG27" i="6"/>
  <c r="BD27" i="6"/>
  <c r="BA27" i="6"/>
  <c r="AX27" i="6"/>
  <c r="AU27" i="6"/>
  <c r="AR27" i="6"/>
  <c r="AO27" i="6"/>
  <c r="AL27" i="6"/>
  <c r="AI27" i="6"/>
  <c r="AF27" i="6"/>
  <c r="AC27" i="6"/>
  <c r="Z27" i="6"/>
  <c r="W27" i="6"/>
  <c r="T27" i="6"/>
  <c r="Q27" i="6"/>
  <c r="N27" i="6"/>
  <c r="K27" i="6"/>
  <c r="H27" i="6"/>
  <c r="CE15" i="6"/>
  <c r="CB15" i="6"/>
  <c r="BY15" i="6"/>
  <c r="BV15" i="6"/>
  <c r="BS15" i="6"/>
  <c r="BP15" i="6"/>
  <c r="BM15" i="6"/>
  <c r="BG15" i="6"/>
  <c r="BD15" i="6"/>
  <c r="BA15" i="6"/>
  <c r="AX15" i="6"/>
  <c r="AU15" i="6"/>
  <c r="AR15" i="6"/>
  <c r="AO15" i="6"/>
  <c r="AL15" i="6"/>
  <c r="AI15" i="6"/>
  <c r="AF15" i="6"/>
  <c r="AC15" i="6"/>
  <c r="Z15" i="6"/>
  <c r="Z47" i="6" s="1"/>
  <c r="W15" i="6"/>
  <c r="T15" i="6"/>
  <c r="T47" i="6" s="1"/>
  <c r="Q15" i="6"/>
  <c r="N15" i="6"/>
  <c r="K15" i="6"/>
  <c r="H15" i="6"/>
  <c r="E15" i="6"/>
  <c r="E27" i="6"/>
  <c r="E37" i="6"/>
  <c r="E50" i="6"/>
  <c r="E53" i="6"/>
  <c r="E56" i="6"/>
  <c r="E61" i="6"/>
  <c r="CE73" i="6"/>
  <c r="CB73" i="6"/>
  <c r="BY73" i="6"/>
  <c r="BV73" i="6"/>
  <c r="BS73" i="6"/>
  <c r="BP73" i="6"/>
  <c r="BM73" i="6"/>
  <c r="BG73" i="6"/>
  <c r="BD73" i="6"/>
  <c r="BA73" i="6"/>
  <c r="AX73" i="6"/>
  <c r="AU73" i="6"/>
  <c r="AR73" i="6"/>
  <c r="AO73" i="6"/>
  <c r="AL73" i="6"/>
  <c r="AI73" i="6"/>
  <c r="AF73" i="6"/>
  <c r="AC73" i="6"/>
  <c r="Z73" i="6"/>
  <c r="W73" i="6"/>
  <c r="T73" i="6"/>
  <c r="Q73" i="6"/>
  <c r="N73" i="6"/>
  <c r="K73" i="6"/>
  <c r="H73" i="6"/>
  <c r="E73" i="6"/>
  <c r="CE67" i="6"/>
  <c r="CB67" i="6"/>
  <c r="BY67" i="6"/>
  <c r="BV67" i="6"/>
  <c r="BS67" i="6"/>
  <c r="BP67" i="6"/>
  <c r="BM67" i="6"/>
  <c r="BG67" i="6"/>
  <c r="BD67" i="6"/>
  <c r="BA67" i="6"/>
  <c r="AX67" i="6"/>
  <c r="AU67" i="6"/>
  <c r="AR67" i="6"/>
  <c r="AO67" i="6"/>
  <c r="AL67" i="6"/>
  <c r="AI67" i="6"/>
  <c r="AF67" i="6"/>
  <c r="AC67" i="6"/>
  <c r="Z67" i="6"/>
  <c r="W67" i="6"/>
  <c r="T67" i="6"/>
  <c r="Q67" i="6"/>
  <c r="N67" i="6"/>
  <c r="K67" i="6"/>
  <c r="H67" i="6"/>
  <c r="BD47" i="6" l="1"/>
  <c r="BM47" i="6"/>
  <c r="W47" i="6"/>
  <c r="BG47" i="6"/>
  <c r="AC47" i="6"/>
  <c r="BP47" i="6"/>
  <c r="AL47" i="6"/>
  <c r="BY47" i="6"/>
  <c r="H47" i="6"/>
  <c r="AR47" i="6"/>
  <c r="CE47" i="6"/>
  <c r="AF47" i="6"/>
  <c r="BS47" i="6"/>
  <c r="AI47" i="6"/>
  <c r="BV47" i="6"/>
  <c r="AO47" i="6"/>
  <c r="CB47" i="6"/>
  <c r="K47" i="6"/>
  <c r="AU47" i="6"/>
  <c r="N47" i="6"/>
  <c r="AX47" i="6"/>
  <c r="E47" i="6"/>
  <c r="Q47" i="6"/>
  <c r="BA47" i="6"/>
  <c r="CH37" i="6"/>
  <c r="CH61" i="6"/>
  <c r="CH73" i="6"/>
  <c r="CH56" i="6"/>
  <c r="CH27" i="6"/>
  <c r="CH53" i="6"/>
  <c r="CH15" i="6"/>
  <c r="CH50" i="6"/>
  <c r="AO74" i="6"/>
  <c r="BM74" i="6"/>
  <c r="BY74" i="6"/>
  <c r="AC74" i="6"/>
  <c r="H74" i="6"/>
  <c r="BA74" i="6"/>
  <c r="Q74" i="6"/>
  <c r="K74" i="6"/>
  <c r="AF74" i="6"/>
  <c r="BD74" i="6"/>
  <c r="CB74" i="6"/>
  <c r="N74" i="6"/>
  <c r="W74" i="6"/>
  <c r="AI74" i="6"/>
  <c r="AU74" i="6"/>
  <c r="BG74" i="6"/>
  <c r="BS74" i="6"/>
  <c r="CE74" i="6"/>
  <c r="T74" i="6"/>
  <c r="AR74" i="6"/>
  <c r="BP74" i="6"/>
  <c r="Z74" i="6"/>
  <c r="AL74" i="6"/>
  <c r="AX74" i="6"/>
  <c r="BV74" i="6"/>
  <c r="BX73" i="6"/>
  <c r="BW73" i="6"/>
  <c r="BX67" i="6"/>
  <c r="BW67" i="6"/>
  <c r="BX61" i="6"/>
  <c r="BW61" i="6"/>
  <c r="BX56" i="6"/>
  <c r="BW56" i="6"/>
  <c r="BX53" i="6"/>
  <c r="BW53" i="6"/>
  <c r="BX50" i="6"/>
  <c r="BW50" i="6"/>
  <c r="BX37" i="6"/>
  <c r="BW37" i="6"/>
  <c r="BX27" i="6"/>
  <c r="BW27" i="6"/>
  <c r="BX15" i="6"/>
  <c r="BW15" i="6"/>
  <c r="BU73" i="6"/>
  <c r="BT73" i="6"/>
  <c r="BU67" i="6"/>
  <c r="BT67" i="6"/>
  <c r="BU61" i="6"/>
  <c r="BT61" i="6"/>
  <c r="BU56" i="6"/>
  <c r="BT56" i="6"/>
  <c r="BU53" i="6"/>
  <c r="BT53" i="6"/>
  <c r="BU50" i="6"/>
  <c r="BT50" i="6"/>
  <c r="BU37" i="6"/>
  <c r="BT37" i="6"/>
  <c r="BU27" i="6"/>
  <c r="BT27" i="6"/>
  <c r="BU15" i="6"/>
  <c r="BT15" i="6"/>
  <c r="BR73" i="6"/>
  <c r="BQ73" i="6"/>
  <c r="BR67" i="6"/>
  <c r="BQ67" i="6"/>
  <c r="BR61" i="6"/>
  <c r="BQ61" i="6"/>
  <c r="BR56" i="6"/>
  <c r="BQ56" i="6"/>
  <c r="BR53" i="6"/>
  <c r="BQ53" i="6"/>
  <c r="BR50" i="6"/>
  <c r="BQ50" i="6"/>
  <c r="BR37" i="6"/>
  <c r="BQ37" i="6"/>
  <c r="BR27" i="6"/>
  <c r="BQ27" i="6"/>
  <c r="BR15" i="6"/>
  <c r="BQ15" i="6"/>
  <c r="BO73" i="6"/>
  <c r="BN73" i="6"/>
  <c r="BO67" i="6"/>
  <c r="BN67" i="6"/>
  <c r="BO61" i="6"/>
  <c r="BN61" i="6"/>
  <c r="BO56" i="6"/>
  <c r="BN56" i="6"/>
  <c r="BO53" i="6"/>
  <c r="BN53" i="6"/>
  <c r="BO50" i="6"/>
  <c r="BN50" i="6"/>
  <c r="BO37" i="6"/>
  <c r="BN37" i="6"/>
  <c r="BO27" i="6"/>
  <c r="BN27" i="6"/>
  <c r="BO15" i="6"/>
  <c r="BN15" i="6"/>
  <c r="D67" i="6"/>
  <c r="E67" i="6"/>
  <c r="CH67" i="6" s="1"/>
  <c r="F67" i="6"/>
  <c r="G67" i="6"/>
  <c r="I67" i="6"/>
  <c r="J67" i="6"/>
  <c r="L67" i="6"/>
  <c r="M67" i="6"/>
  <c r="O67" i="6"/>
  <c r="P67" i="6"/>
  <c r="R67" i="6"/>
  <c r="S67" i="6"/>
  <c r="U67" i="6"/>
  <c r="V67" i="6"/>
  <c r="X67" i="6"/>
  <c r="Y67" i="6"/>
  <c r="AA67" i="6"/>
  <c r="AB67" i="6"/>
  <c r="AD67" i="6"/>
  <c r="AE67" i="6"/>
  <c r="AG67" i="6"/>
  <c r="AH67" i="6"/>
  <c r="AJ67" i="6"/>
  <c r="AK67" i="6"/>
  <c r="AM67" i="6"/>
  <c r="AN67" i="6"/>
  <c r="AP67" i="6"/>
  <c r="AQ67" i="6"/>
  <c r="AS67" i="6"/>
  <c r="AT67" i="6"/>
  <c r="AV67" i="6"/>
  <c r="AW67" i="6"/>
  <c r="AY67" i="6"/>
  <c r="AZ67" i="6"/>
  <c r="BB67" i="6"/>
  <c r="BC67" i="6"/>
  <c r="BE67" i="6"/>
  <c r="BF67" i="6"/>
  <c r="BK67" i="6"/>
  <c r="BL67" i="6"/>
  <c r="BZ67" i="6"/>
  <c r="CA67" i="6"/>
  <c r="CC67" i="6"/>
  <c r="CD67" i="6"/>
  <c r="C67" i="6"/>
  <c r="I61" i="6"/>
  <c r="J61" i="6"/>
  <c r="I73" i="6"/>
  <c r="J73" i="6"/>
  <c r="I50" i="6"/>
  <c r="J50" i="6"/>
  <c r="I53" i="6"/>
  <c r="J53" i="6"/>
  <c r="I56" i="6"/>
  <c r="J56" i="6"/>
  <c r="I27" i="6"/>
  <c r="J27" i="6"/>
  <c r="I37" i="6"/>
  <c r="J37" i="6"/>
  <c r="I15" i="6"/>
  <c r="J15" i="6"/>
  <c r="CH75" i="6" l="1"/>
  <c r="CH47" i="6"/>
  <c r="BQ47" i="6"/>
  <c r="BW47" i="6"/>
  <c r="BR47" i="6"/>
  <c r="BX47" i="6"/>
  <c r="J47" i="6"/>
  <c r="BN47" i="6"/>
  <c r="BT47" i="6"/>
  <c r="I47" i="6"/>
  <c r="BO47" i="6"/>
  <c r="BU47" i="6"/>
  <c r="Z75" i="6"/>
  <c r="N75" i="6"/>
  <c r="BD75" i="6"/>
  <c r="Q75" i="6"/>
  <c r="AO75" i="6"/>
  <c r="BA75" i="6"/>
  <c r="BP75" i="6"/>
  <c r="BP76" i="6" s="1"/>
  <c r="AC75" i="6"/>
  <c r="CB75" i="6"/>
  <c r="BV75" i="6"/>
  <c r="BV76" i="6" s="1"/>
  <c r="W75" i="6"/>
  <c r="H75" i="6"/>
  <c r="BS75" i="6"/>
  <c r="BS76" i="6" s="1"/>
  <c r="AR75" i="6"/>
  <c r="AU75" i="6"/>
  <c r="AF75" i="6"/>
  <c r="BM75" i="6"/>
  <c r="AI75" i="6"/>
  <c r="CE75" i="6"/>
  <c r="T75" i="6"/>
  <c r="AX75" i="6"/>
  <c r="AL75" i="6"/>
  <c r="BG75" i="6"/>
  <c r="K75" i="6"/>
  <c r="BY75" i="6"/>
  <c r="BY76" i="6" s="1"/>
  <c r="CI47" i="6"/>
  <c r="CG67" i="6"/>
  <c r="CF67" i="6"/>
  <c r="BW74" i="6"/>
  <c r="BX74" i="6"/>
  <c r="BO74" i="6"/>
  <c r="BN74" i="6"/>
  <c r="J74" i="6"/>
  <c r="I74" i="6"/>
  <c r="BQ74" i="6"/>
  <c r="BT74" i="6"/>
  <c r="BS78" i="6"/>
  <c r="BA78" i="6"/>
  <c r="CH74" i="6"/>
  <c r="BV78" i="6"/>
  <c r="AU78" i="6"/>
  <c r="BR74" i="6"/>
  <c r="BU74" i="6"/>
  <c r="BP78" i="6"/>
  <c r="AF78" i="6"/>
  <c r="BY78" i="6"/>
  <c r="AC78" i="6"/>
  <c r="AI78" i="6"/>
  <c r="AL78" i="6"/>
  <c r="Z78" i="6"/>
  <c r="AR78" i="6"/>
  <c r="K78" i="6"/>
  <c r="H78" i="6"/>
  <c r="N78" i="6"/>
  <c r="CB78" i="6"/>
  <c r="E78" i="6"/>
  <c r="BG78" i="6"/>
  <c r="AO78" i="6"/>
  <c r="BJ78" i="6"/>
  <c r="AX78" i="6"/>
  <c r="BD78" i="6"/>
  <c r="CE78" i="6"/>
  <c r="T78" i="6"/>
  <c r="BM78" i="6"/>
  <c r="Q78" i="6"/>
  <c r="W78" i="6"/>
  <c r="E74" i="6"/>
  <c r="CI74" i="6" s="1"/>
  <c r="CC15" i="6"/>
  <c r="CD15" i="6"/>
  <c r="CC27" i="6"/>
  <c r="CD27" i="6"/>
  <c r="CC37" i="6"/>
  <c r="CD37" i="6"/>
  <c r="CC50" i="6"/>
  <c r="CD50" i="6"/>
  <c r="CC53" i="6"/>
  <c r="CD53" i="6"/>
  <c r="CC56" i="6"/>
  <c r="CD56" i="6"/>
  <c r="CC61" i="6"/>
  <c r="CD61" i="6"/>
  <c r="CC73" i="6"/>
  <c r="CD73" i="6"/>
  <c r="BB15" i="6"/>
  <c r="BC15" i="6"/>
  <c r="BE15" i="6"/>
  <c r="BF15" i="6"/>
  <c r="BK15" i="6"/>
  <c r="BL15" i="6"/>
  <c r="BZ15" i="6"/>
  <c r="CA15" i="6"/>
  <c r="BB27" i="6"/>
  <c r="BC27" i="6"/>
  <c r="BE27" i="6"/>
  <c r="BF27" i="6"/>
  <c r="BK27" i="6"/>
  <c r="BL27" i="6"/>
  <c r="BZ27" i="6"/>
  <c r="CA27" i="6"/>
  <c r="BB37" i="6"/>
  <c r="BC37" i="6"/>
  <c r="BE37" i="6"/>
  <c r="BF37" i="6"/>
  <c r="BK37" i="6"/>
  <c r="BL37" i="6"/>
  <c r="BZ37" i="6"/>
  <c r="CA37" i="6"/>
  <c r="BB50" i="6"/>
  <c r="BC50" i="6"/>
  <c r="BE50" i="6"/>
  <c r="BF50" i="6"/>
  <c r="BK50" i="6"/>
  <c r="BL50" i="6"/>
  <c r="BZ50" i="6"/>
  <c r="CA50" i="6"/>
  <c r="BB53" i="6"/>
  <c r="BC53" i="6"/>
  <c r="BE53" i="6"/>
  <c r="BF53" i="6"/>
  <c r="BK53" i="6"/>
  <c r="BL53" i="6"/>
  <c r="BZ53" i="6"/>
  <c r="CA53" i="6"/>
  <c r="BB56" i="6"/>
  <c r="BC56" i="6"/>
  <c r="BE56" i="6"/>
  <c r="BF56" i="6"/>
  <c r="BK56" i="6"/>
  <c r="BL56" i="6"/>
  <c r="BZ56" i="6"/>
  <c r="CA56" i="6"/>
  <c r="BB61" i="6"/>
  <c r="BC61" i="6"/>
  <c r="BE61" i="6"/>
  <c r="BF61" i="6"/>
  <c r="BK61" i="6"/>
  <c r="BL61" i="6"/>
  <c r="BZ61" i="6"/>
  <c r="CA61" i="6"/>
  <c r="BB73" i="6"/>
  <c r="BC73" i="6"/>
  <c r="BE73" i="6"/>
  <c r="BF73" i="6"/>
  <c r="BK73" i="6"/>
  <c r="BL73" i="6"/>
  <c r="BZ73" i="6"/>
  <c r="CA73" i="6"/>
  <c r="AG15" i="6"/>
  <c r="AH15" i="6"/>
  <c r="AJ15" i="6"/>
  <c r="AK15" i="6"/>
  <c r="AM15" i="6"/>
  <c r="AN15" i="6"/>
  <c r="AP15" i="6"/>
  <c r="AQ15" i="6"/>
  <c r="AS15" i="6"/>
  <c r="AT15" i="6"/>
  <c r="AV15" i="6"/>
  <c r="AW15" i="6"/>
  <c r="AY15" i="6"/>
  <c r="AZ15" i="6"/>
  <c r="AG27" i="6"/>
  <c r="AH27" i="6"/>
  <c r="AJ27" i="6"/>
  <c r="AK27" i="6"/>
  <c r="AM27" i="6"/>
  <c r="AN27" i="6"/>
  <c r="AP27" i="6"/>
  <c r="AQ27" i="6"/>
  <c r="AS27" i="6"/>
  <c r="AT27" i="6"/>
  <c r="AV27" i="6"/>
  <c r="AW27" i="6"/>
  <c r="AY27" i="6"/>
  <c r="AZ27" i="6"/>
  <c r="AG37" i="6"/>
  <c r="AH37" i="6"/>
  <c r="AJ37" i="6"/>
  <c r="AK37" i="6"/>
  <c r="AM37" i="6"/>
  <c r="AN37" i="6"/>
  <c r="AP37" i="6"/>
  <c r="AQ37" i="6"/>
  <c r="AS37" i="6"/>
  <c r="AT37" i="6"/>
  <c r="AV37" i="6"/>
  <c r="AW37" i="6"/>
  <c r="AY37" i="6"/>
  <c r="AZ37" i="6"/>
  <c r="AG50" i="6"/>
  <c r="AH50" i="6"/>
  <c r="AJ50" i="6"/>
  <c r="AK50" i="6"/>
  <c r="AM50" i="6"/>
  <c r="AN50" i="6"/>
  <c r="AP50" i="6"/>
  <c r="AQ50" i="6"/>
  <c r="AS50" i="6"/>
  <c r="AT50" i="6"/>
  <c r="AV50" i="6"/>
  <c r="AW50" i="6"/>
  <c r="AY50" i="6"/>
  <c r="AZ50" i="6"/>
  <c r="AG53" i="6"/>
  <c r="AH53" i="6"/>
  <c r="AJ53" i="6"/>
  <c r="AK53" i="6"/>
  <c r="AM53" i="6"/>
  <c r="AN53" i="6"/>
  <c r="AP53" i="6"/>
  <c r="AQ53" i="6"/>
  <c r="AS53" i="6"/>
  <c r="AT53" i="6"/>
  <c r="AV53" i="6"/>
  <c r="AW53" i="6"/>
  <c r="AY53" i="6"/>
  <c r="AZ53" i="6"/>
  <c r="AG56" i="6"/>
  <c r="AH56" i="6"/>
  <c r="AJ56" i="6"/>
  <c r="AK56" i="6"/>
  <c r="AM56" i="6"/>
  <c r="AN56" i="6"/>
  <c r="AP56" i="6"/>
  <c r="AQ56" i="6"/>
  <c r="AS56" i="6"/>
  <c r="AT56" i="6"/>
  <c r="AV56" i="6"/>
  <c r="AW56" i="6"/>
  <c r="AY56" i="6"/>
  <c r="AZ56" i="6"/>
  <c r="AG61" i="6"/>
  <c r="AH61" i="6"/>
  <c r="AJ61" i="6"/>
  <c r="AK61" i="6"/>
  <c r="AM61" i="6"/>
  <c r="AN61" i="6"/>
  <c r="AP61" i="6"/>
  <c r="AQ61" i="6"/>
  <c r="AS61" i="6"/>
  <c r="AT61" i="6"/>
  <c r="AV61" i="6"/>
  <c r="AW61" i="6"/>
  <c r="AY61" i="6"/>
  <c r="AZ61" i="6"/>
  <c r="AG73" i="6"/>
  <c r="AH73" i="6"/>
  <c r="AJ73" i="6"/>
  <c r="AK73" i="6"/>
  <c r="AM73" i="6"/>
  <c r="AN73" i="6"/>
  <c r="AP73" i="6"/>
  <c r="AQ73" i="6"/>
  <c r="AS73" i="6"/>
  <c r="AT73" i="6"/>
  <c r="AV73" i="6"/>
  <c r="AW73" i="6"/>
  <c r="AY73" i="6"/>
  <c r="AZ73" i="6"/>
  <c r="O15" i="6"/>
  <c r="P15" i="6"/>
  <c r="R15" i="6"/>
  <c r="S15" i="6"/>
  <c r="U15" i="6"/>
  <c r="V15" i="6"/>
  <c r="X15" i="6"/>
  <c r="Y15" i="6"/>
  <c r="AA15" i="6"/>
  <c r="AB15" i="6"/>
  <c r="AD15" i="6"/>
  <c r="AE15" i="6"/>
  <c r="O27" i="6"/>
  <c r="P27" i="6"/>
  <c r="R27" i="6"/>
  <c r="S27" i="6"/>
  <c r="U27" i="6"/>
  <c r="V27" i="6"/>
  <c r="X27" i="6"/>
  <c r="Y27" i="6"/>
  <c r="AA27" i="6"/>
  <c r="AB27" i="6"/>
  <c r="AD27" i="6"/>
  <c r="AE27" i="6"/>
  <c r="O37" i="6"/>
  <c r="P37" i="6"/>
  <c r="R37" i="6"/>
  <c r="S37" i="6"/>
  <c r="U37" i="6"/>
  <c r="V37" i="6"/>
  <c r="X37" i="6"/>
  <c r="Y37" i="6"/>
  <c r="AA37" i="6"/>
  <c r="AB37" i="6"/>
  <c r="AD37" i="6"/>
  <c r="AE37" i="6"/>
  <c r="O50" i="6"/>
  <c r="P50" i="6"/>
  <c r="R50" i="6"/>
  <c r="S50" i="6"/>
  <c r="U50" i="6"/>
  <c r="V50" i="6"/>
  <c r="X50" i="6"/>
  <c r="Y50" i="6"/>
  <c r="AA50" i="6"/>
  <c r="AB50" i="6"/>
  <c r="AD50" i="6"/>
  <c r="AE50" i="6"/>
  <c r="O53" i="6"/>
  <c r="P53" i="6"/>
  <c r="R53" i="6"/>
  <c r="S53" i="6"/>
  <c r="U53" i="6"/>
  <c r="V53" i="6"/>
  <c r="X53" i="6"/>
  <c r="Y53" i="6"/>
  <c r="AA53" i="6"/>
  <c r="AB53" i="6"/>
  <c r="AD53" i="6"/>
  <c r="AE53" i="6"/>
  <c r="O56" i="6"/>
  <c r="P56" i="6"/>
  <c r="R56" i="6"/>
  <c r="S56" i="6"/>
  <c r="U56" i="6"/>
  <c r="V56" i="6"/>
  <c r="X56" i="6"/>
  <c r="Y56" i="6"/>
  <c r="AA56" i="6"/>
  <c r="AB56" i="6"/>
  <c r="AD56" i="6"/>
  <c r="AE56" i="6"/>
  <c r="O61" i="6"/>
  <c r="P61" i="6"/>
  <c r="R61" i="6"/>
  <c r="S61" i="6"/>
  <c r="U61" i="6"/>
  <c r="V61" i="6"/>
  <c r="X61" i="6"/>
  <c r="Y61" i="6"/>
  <c r="AA61" i="6"/>
  <c r="AB61" i="6"/>
  <c r="AD61" i="6"/>
  <c r="AE61" i="6"/>
  <c r="O73" i="6"/>
  <c r="P73" i="6"/>
  <c r="R73" i="6"/>
  <c r="S73" i="6"/>
  <c r="U73" i="6"/>
  <c r="V73" i="6"/>
  <c r="X73" i="6"/>
  <c r="Y73" i="6"/>
  <c r="AA73" i="6"/>
  <c r="AB73" i="6"/>
  <c r="AD73" i="6"/>
  <c r="AE73" i="6"/>
  <c r="D15" i="6"/>
  <c r="F15" i="6"/>
  <c r="G15" i="6"/>
  <c r="L15" i="6"/>
  <c r="M15" i="6"/>
  <c r="D27" i="6"/>
  <c r="F27" i="6"/>
  <c r="G27" i="6"/>
  <c r="L27" i="6"/>
  <c r="M27" i="6"/>
  <c r="D37" i="6"/>
  <c r="F37" i="6"/>
  <c r="G37" i="6"/>
  <c r="L37" i="6"/>
  <c r="M37" i="6"/>
  <c r="D50" i="6"/>
  <c r="F50" i="6"/>
  <c r="G50" i="6"/>
  <c r="L50" i="6"/>
  <c r="M50" i="6"/>
  <c r="D53" i="6"/>
  <c r="F53" i="6"/>
  <c r="G53" i="6"/>
  <c r="L53" i="6"/>
  <c r="M53" i="6"/>
  <c r="D56" i="6"/>
  <c r="F56" i="6"/>
  <c r="G56" i="6"/>
  <c r="L56" i="6"/>
  <c r="M56" i="6"/>
  <c r="D61" i="6"/>
  <c r="F61" i="6"/>
  <c r="G61" i="6"/>
  <c r="L61" i="6"/>
  <c r="M61" i="6"/>
  <c r="D73" i="6"/>
  <c r="F73" i="6"/>
  <c r="G73" i="6"/>
  <c r="L73" i="6"/>
  <c r="M73" i="6"/>
  <c r="M47" i="6" l="1"/>
  <c r="BC47" i="6"/>
  <c r="AA47" i="6"/>
  <c r="AY47" i="6"/>
  <c r="AG47" i="6"/>
  <c r="BK47" i="6"/>
  <c r="Y47" i="6"/>
  <c r="AW47" i="6"/>
  <c r="BF47" i="6"/>
  <c r="BE47" i="6"/>
  <c r="X47" i="6"/>
  <c r="AV47" i="6"/>
  <c r="V47" i="6"/>
  <c r="AT47" i="6"/>
  <c r="U47" i="6"/>
  <c r="AS47" i="6"/>
  <c r="BB47" i="6"/>
  <c r="S47" i="6"/>
  <c r="AQ47" i="6"/>
  <c r="G47" i="6"/>
  <c r="R47" i="6"/>
  <c r="AP47" i="6"/>
  <c r="F47" i="6"/>
  <c r="P47" i="6"/>
  <c r="AN47" i="6"/>
  <c r="CD47" i="6"/>
  <c r="O47" i="6"/>
  <c r="AM47" i="6"/>
  <c r="CC47" i="6"/>
  <c r="L47" i="6"/>
  <c r="AK47" i="6"/>
  <c r="CA47" i="6"/>
  <c r="D47" i="6"/>
  <c r="AE47" i="6"/>
  <c r="AD47" i="6"/>
  <c r="AJ47" i="6"/>
  <c r="BZ47" i="6"/>
  <c r="AB47" i="6"/>
  <c r="AZ47" i="6"/>
  <c r="AH47" i="6"/>
  <c r="BL47" i="6"/>
  <c r="BQ75" i="6"/>
  <c r="E75" i="6"/>
  <c r="CI75" i="6" s="1"/>
  <c r="BO75" i="6"/>
  <c r="BN75" i="6"/>
  <c r="BX75" i="6"/>
  <c r="BW75" i="6"/>
  <c r="I75" i="6"/>
  <c r="BU75" i="6"/>
  <c r="BT75" i="6"/>
  <c r="J75" i="6"/>
  <c r="BR75" i="6"/>
  <c r="CH76" i="6"/>
  <c r="CG53" i="6"/>
  <c r="CG15" i="6"/>
  <c r="CG73" i="6"/>
  <c r="CG27" i="6"/>
  <c r="CG37" i="6"/>
  <c r="CG50" i="6"/>
  <c r="CG61" i="6"/>
  <c r="CG56" i="6"/>
  <c r="AG74" i="6"/>
  <c r="AH74" i="6"/>
  <c r="AT74" i="6"/>
  <c r="AS74" i="6"/>
  <c r="BL74" i="6"/>
  <c r="BK74" i="6"/>
  <c r="BZ74" i="6"/>
  <c r="CA74" i="6"/>
  <c r="CD74" i="6"/>
  <c r="CC74" i="6"/>
  <c r="AK74" i="6"/>
  <c r="AJ74" i="6"/>
  <c r="D74" i="6"/>
  <c r="G74" i="6"/>
  <c r="F74" i="6"/>
  <c r="AQ74" i="6"/>
  <c r="AP74" i="6"/>
  <c r="AW74" i="6"/>
  <c r="AV74" i="6"/>
  <c r="AB74" i="6"/>
  <c r="AA74" i="6"/>
  <c r="V74" i="6"/>
  <c r="U74" i="6"/>
  <c r="Y74" i="6"/>
  <c r="X74" i="6"/>
  <c r="AN74" i="6"/>
  <c r="AM74" i="6"/>
  <c r="M74" i="6"/>
  <c r="L74" i="6"/>
  <c r="P74" i="6"/>
  <c r="O74" i="6"/>
  <c r="AD74" i="6"/>
  <c r="AE74" i="6"/>
  <c r="S74" i="6"/>
  <c r="R74" i="6"/>
  <c r="AY74" i="6"/>
  <c r="BF74" i="6"/>
  <c r="BE74" i="6"/>
  <c r="AZ74" i="6"/>
  <c r="BB74" i="6"/>
  <c r="BC74" i="6"/>
  <c r="N76" i="6"/>
  <c r="AL76" i="6"/>
  <c r="CG75" i="6" l="1"/>
  <c r="CG47" i="6"/>
  <c r="AM75" i="6"/>
  <c r="AV75" i="6"/>
  <c r="F75" i="6"/>
  <c r="BZ75" i="6"/>
  <c r="AK75" i="6"/>
  <c r="AH75" i="6"/>
  <c r="O75" i="6"/>
  <c r="U75" i="6"/>
  <c r="V75" i="6"/>
  <c r="AG75" i="6"/>
  <c r="R75" i="6"/>
  <c r="AT75" i="6"/>
  <c r="AA75" i="6"/>
  <c r="AP75" i="6"/>
  <c r="AQ75" i="6"/>
  <c r="AN75" i="6"/>
  <c r="D75" i="6"/>
  <c r="BF75" i="6"/>
  <c r="AB75" i="6"/>
  <c r="X75" i="6"/>
  <c r="S75" i="6"/>
  <c r="M75" i="6"/>
  <c r="AW75" i="6"/>
  <c r="BC75" i="6"/>
  <c r="AZ75" i="6"/>
  <c r="BE75" i="6"/>
  <c r="CA75" i="6"/>
  <c r="BB75" i="6"/>
  <c r="AS75" i="6"/>
  <c r="AD75" i="6"/>
  <c r="AE75" i="6"/>
  <c r="CC75" i="6"/>
  <c r="CD75" i="6"/>
  <c r="BL75" i="6"/>
  <c r="Y75" i="6"/>
  <c r="P75" i="6"/>
  <c r="BK75" i="6"/>
  <c r="AY75" i="6"/>
  <c r="G75" i="6"/>
  <c r="L75" i="6"/>
  <c r="AJ75" i="6"/>
  <c r="CG74" i="6"/>
  <c r="AO76" i="6"/>
  <c r="AR76" i="6"/>
  <c r="AU76" i="6"/>
  <c r="AX76" i="6"/>
  <c r="BA76" i="6"/>
  <c r="CB76" i="6"/>
  <c r="BD76" i="6"/>
  <c r="AC76" i="6"/>
  <c r="BG76" i="6"/>
  <c r="Z76" i="6" l="1"/>
  <c r="H76" i="6"/>
  <c r="BJ76" i="6"/>
  <c r="W76" i="6"/>
  <c r="BM76" i="6"/>
  <c r="T76" i="6"/>
  <c r="Q76" i="6"/>
  <c r="CE76" i="6"/>
  <c r="K76" i="6"/>
  <c r="AI76" i="6"/>
  <c r="AF76" i="6"/>
  <c r="C73" i="6"/>
  <c r="CF73" i="6" s="1"/>
  <c r="E76" i="6" l="1"/>
  <c r="C27" i="6" l="1"/>
  <c r="CF27" i="6" s="1"/>
  <c r="C61" i="6"/>
  <c r="CF61" i="6" s="1"/>
  <c r="C56" i="6"/>
  <c r="CF56" i="6" s="1"/>
  <c r="C53" i="6"/>
  <c r="CF53" i="6" s="1"/>
  <c r="C50" i="6"/>
  <c r="C37" i="6"/>
  <c r="CF37" i="6" s="1"/>
  <c r="C15" i="6"/>
  <c r="C47" i="6" l="1"/>
  <c r="CF50" i="6"/>
  <c r="CF74" i="6" s="1"/>
  <c r="C74" i="6"/>
  <c r="CF15" i="6"/>
  <c r="CF47" i="6" l="1"/>
  <c r="CF75" i="6"/>
  <c r="C75" i="6"/>
</calcChain>
</file>

<file path=xl/sharedStrings.xml><?xml version="1.0" encoding="utf-8"?>
<sst xmlns="http://schemas.openxmlformats.org/spreadsheetml/2006/main" count="197" uniqueCount="85">
  <si>
    <t>Показатели оценки результата</t>
  </si>
  <si>
    <t>с/о (нач)</t>
  </si>
  <si>
    <t>с/о (кон)</t>
  </si>
  <si>
    <t>Среднее значение:</t>
  </si>
  <si>
    <t>Среднее значение</t>
  </si>
  <si>
    <t>эксп</t>
  </si>
  <si>
    <t>ПК</t>
  </si>
  <si>
    <t>ОК</t>
  </si>
  <si>
    <t>средний бал</t>
  </si>
  <si>
    <r>
      <t>Среднее значение</t>
    </r>
    <r>
      <rPr>
        <b/>
        <sz val="8"/>
        <color rgb="FFFF0000"/>
        <rFont val="Times New Roman"/>
        <family val="1"/>
        <charset val="204"/>
      </rPr>
      <t>:</t>
    </r>
  </si>
  <si>
    <t>Самооценка</t>
  </si>
  <si>
    <t>Экспертная оценка</t>
  </si>
  <si>
    <t>%</t>
  </si>
  <si>
    <t xml:space="preserve">Сводная таблица оценки уровня сформированности общих и профессиональных компетенций студентов в ходе практики </t>
  </si>
  <si>
    <t>Богомятков</t>
  </si>
  <si>
    <t>Павел</t>
  </si>
  <si>
    <t>Алексеевич</t>
  </si>
  <si>
    <t>Едигарев</t>
  </si>
  <si>
    <t>Николай</t>
  </si>
  <si>
    <t>Александрович</t>
  </si>
  <si>
    <t>Ермолова</t>
  </si>
  <si>
    <t>Светлана</t>
  </si>
  <si>
    <t>Артемовна</t>
  </si>
  <si>
    <t>Зарайская</t>
  </si>
  <si>
    <t>Конев</t>
  </si>
  <si>
    <t>Кирилл</t>
  </si>
  <si>
    <t>Сергеевич</t>
  </si>
  <si>
    <t>Лаптев</t>
  </si>
  <si>
    <t>Николаевич</t>
  </si>
  <si>
    <t>Меркулов</t>
  </si>
  <si>
    <t>Олегович</t>
  </si>
  <si>
    <t>Нагибина</t>
  </si>
  <si>
    <t>Юлия</t>
  </si>
  <si>
    <t>Павловна</t>
  </si>
  <si>
    <t>Прожерин</t>
  </si>
  <si>
    <t>Валерий</t>
  </si>
  <si>
    <t>Аркадьевич</t>
  </si>
  <si>
    <t>Рудов</t>
  </si>
  <si>
    <t>Максим</t>
  </si>
  <si>
    <t>Андреевич</t>
  </si>
  <si>
    <t>Суслов</t>
  </si>
  <si>
    <t>Федоров</t>
  </si>
  <si>
    <t>Шаламов</t>
  </si>
  <si>
    <t>Болычева</t>
  </si>
  <si>
    <t>Ватагин</t>
  </si>
  <si>
    <t>Галимов</t>
  </si>
  <si>
    <t>Дугин</t>
  </si>
  <si>
    <t>Иберфлюс</t>
  </si>
  <si>
    <t>Камаев</t>
  </si>
  <si>
    <t>Койнов</t>
  </si>
  <si>
    <t>Лоскутова</t>
  </si>
  <si>
    <t>Макаров</t>
  </si>
  <si>
    <t>Намятова</t>
  </si>
  <si>
    <t>Обоскалов</t>
  </si>
  <si>
    <t>Таушканов</t>
  </si>
  <si>
    <t>Цыгвинцев</t>
  </si>
  <si>
    <t>Матвей</t>
  </si>
  <si>
    <t>Владимирович</t>
  </si>
  <si>
    <t>Прожерин В</t>
  </si>
  <si>
    <t>Прожерин М</t>
  </si>
  <si>
    <t>ОК1</t>
  </si>
  <si>
    <t>ОК2</t>
  </si>
  <si>
    <t>ОК3</t>
  </si>
  <si>
    <t>ОК4</t>
  </si>
  <si>
    <t>ОК5</t>
  </si>
  <si>
    <t>ОК6</t>
  </si>
  <si>
    <t>Средний балл ПК</t>
  </si>
  <si>
    <t>ОК7</t>
  </si>
  <si>
    <t>ОК8</t>
  </si>
  <si>
    <t>ОК9</t>
  </si>
  <si>
    <t>Средний балл ОК</t>
  </si>
  <si>
    <t>Итог (ПК+ОК)</t>
  </si>
  <si>
    <t>Оценка по ПК и ОК</t>
  </si>
  <si>
    <t>Оценка по ПК</t>
  </si>
  <si>
    <r>
      <rPr>
        <b/>
        <sz val="10"/>
        <color rgb="FFC00000"/>
        <rFont val="Times New Roman"/>
        <family val="1"/>
        <charset val="204"/>
      </rPr>
      <t xml:space="preserve">: </t>
    </r>
    <r>
      <rPr>
        <b/>
        <sz val="10"/>
        <color rgb="FF009900"/>
        <rFont val="Times New Roman"/>
        <family val="1"/>
        <charset val="204"/>
      </rPr>
      <t>2-1,82</t>
    </r>
    <r>
      <rPr>
        <sz val="10"/>
        <color theme="1"/>
        <rFont val="Times New Roman"/>
        <family val="1"/>
        <charset val="204"/>
      </rPr>
      <t xml:space="preserve"> - высокий («</t>
    </r>
    <r>
      <rPr>
        <b/>
        <sz val="10"/>
        <color rgb="FF009900"/>
        <rFont val="Times New Roman"/>
        <family val="1"/>
        <charset val="204"/>
      </rPr>
      <t>5</t>
    </r>
    <r>
      <rPr>
        <sz val="10"/>
        <color theme="1"/>
        <rFont val="Times New Roman"/>
        <family val="1"/>
        <charset val="204"/>
      </rPr>
      <t xml:space="preserve">»), </t>
    </r>
    <r>
      <rPr>
        <b/>
        <sz val="10"/>
        <color rgb="FF0000FF"/>
        <rFont val="Times New Roman"/>
        <family val="1"/>
        <charset val="204"/>
      </rPr>
      <t>1,81</t>
    </r>
    <r>
      <rPr>
        <sz val="10"/>
        <color theme="1"/>
        <rFont val="Times New Roman"/>
        <family val="1"/>
        <charset val="204"/>
      </rPr>
      <t>-</t>
    </r>
    <r>
      <rPr>
        <b/>
        <sz val="10"/>
        <color rgb="FF0000FF"/>
        <rFont val="Times New Roman"/>
        <family val="1"/>
        <charset val="204"/>
      </rPr>
      <t>1,52</t>
    </r>
    <r>
      <rPr>
        <sz val="10"/>
        <color theme="1"/>
        <rFont val="Times New Roman"/>
        <family val="1"/>
        <charset val="204"/>
      </rPr>
      <t xml:space="preserve"> - средний («</t>
    </r>
    <r>
      <rPr>
        <b/>
        <sz val="10"/>
        <color rgb="FF0000FF"/>
        <rFont val="Times New Roman"/>
        <family val="1"/>
        <charset val="204"/>
      </rPr>
      <t>4</t>
    </r>
    <r>
      <rPr>
        <sz val="10"/>
        <color theme="1"/>
        <rFont val="Times New Roman"/>
        <family val="1"/>
        <charset val="204"/>
      </rPr>
      <t xml:space="preserve">»), </t>
    </r>
    <r>
      <rPr>
        <b/>
        <sz val="10"/>
        <color rgb="FFC00000"/>
        <rFont val="Times New Roman"/>
        <family val="1"/>
        <charset val="204"/>
      </rPr>
      <t>1,51-1,02</t>
    </r>
    <r>
      <rPr>
        <sz val="10"/>
        <color theme="1"/>
        <rFont val="Times New Roman"/>
        <family val="1"/>
        <charset val="204"/>
      </rPr>
      <t xml:space="preserve"> - низкий («</t>
    </r>
    <r>
      <rPr>
        <b/>
        <sz val="10"/>
        <color rgb="FFC00000"/>
        <rFont val="Times New Roman"/>
        <family val="1"/>
        <charset val="204"/>
      </rPr>
      <t>3</t>
    </r>
    <r>
      <rPr>
        <sz val="10"/>
        <color theme="1"/>
        <rFont val="Times New Roman"/>
        <family val="1"/>
        <charset val="204"/>
      </rPr>
      <t>»)</t>
    </r>
  </si>
  <si>
    <t xml:space="preserve">      Оценки должны совпадать </t>
  </si>
  <si>
    <t>ПК 3.1</t>
  </si>
  <si>
    <t>ПК 3.2</t>
  </si>
  <si>
    <t>ПК 3.3</t>
  </si>
  <si>
    <t>ПК 3.4</t>
  </si>
  <si>
    <t>ПК 3.5</t>
  </si>
  <si>
    <t>ПК 2</t>
  </si>
  <si>
    <t>ПК 1</t>
  </si>
  <si>
    <t>ПК 3</t>
  </si>
  <si>
    <t>ПК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</si>
</sst>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Red]#,##0"/>
  </numFmts>
  <fonts count="29" x14ac:knownFonts="1">
    <font>
      <sz val="11"/>
      <color theme="1"/>
      <name val="Calibri"/>
      <family val="2"/>
      <charset val="204"/>
      <scheme val="minor"/>
    </font>
    <font>
      <b/>
      <sz val="12"/>
      <color theme="1"/>
      <name val="Times New Roman"/>
      <family val="1"/>
      <charset val="204"/>
    </font>
    <font>
      <sz val="8"/>
      <color theme="1"/>
      <name val="Times New Roman"/>
      <family val="1"/>
      <charset val="204"/>
    </font>
    <font>
      <sz val="8"/>
      <color theme="1"/>
      <name val="Calibri"/>
      <family val="2"/>
      <charset val="204"/>
      <scheme val="minor"/>
    </font>
    <font>
      <sz val="8"/>
      <name val="Times New Roman"/>
      <family val="1"/>
      <charset val="204"/>
    </font>
    <font>
      <b/>
      <sz val="8"/>
      <color theme="1"/>
      <name val="Times New Roman"/>
      <family val="1"/>
      <charset val="204"/>
    </font>
    <font>
      <i/>
      <sz val="8"/>
      <color theme="1"/>
      <name val="Times New Roman"/>
      <family val="1"/>
      <charset val="204"/>
    </font>
    <font>
      <b/>
      <sz val="8"/>
      <color rgb="FFFF0000"/>
      <name val="Times New Roman"/>
      <family val="1"/>
      <charset val="204"/>
    </font>
    <font>
      <b/>
      <sz val="8"/>
      <name val="Times New Roman"/>
      <family val="1"/>
      <charset val="204"/>
    </font>
    <font>
      <b/>
      <sz val="8"/>
      <color theme="1"/>
      <name val="Calibri"/>
      <family val="2"/>
      <charset val="204"/>
      <scheme val="minor"/>
    </font>
    <font>
      <b/>
      <sz val="10"/>
      <color theme="1"/>
      <name val="Times New Roman"/>
      <family val="1"/>
      <charset val="204"/>
    </font>
    <font>
      <sz val="10"/>
      <color rgb="FF000000"/>
      <name val="Calibri"/>
      <family val="2"/>
      <charset val="204"/>
    </font>
    <font>
      <b/>
      <sz val="14"/>
      <color theme="1"/>
      <name val="Times New Roman"/>
      <family val="1"/>
      <charset val="204"/>
    </font>
    <font>
      <b/>
      <sz val="14"/>
      <color theme="1"/>
      <name val="Calibri"/>
      <family val="2"/>
      <charset val="204"/>
      <scheme val="minor"/>
    </font>
    <font>
      <sz val="9"/>
      <color theme="1"/>
      <name val="Times New Roman"/>
      <family val="1"/>
      <charset val="204"/>
    </font>
    <font>
      <b/>
      <sz val="10"/>
      <color theme="1"/>
      <name val="Calibri"/>
      <family val="2"/>
      <charset val="204"/>
      <scheme val="minor"/>
    </font>
    <font>
      <sz val="10"/>
      <name val="Times New Roman"/>
      <family val="1"/>
      <charset val="204"/>
    </font>
    <font>
      <b/>
      <sz val="12"/>
      <color theme="1"/>
      <name val="Calibri"/>
      <family val="2"/>
      <charset val="204"/>
      <scheme val="minor"/>
    </font>
    <font>
      <b/>
      <sz val="8"/>
      <color rgb="FFC00000"/>
      <name val="Times New Roman"/>
      <family val="1"/>
      <charset val="204"/>
    </font>
    <font>
      <b/>
      <sz val="9"/>
      <color theme="1"/>
      <name val="Calibri"/>
      <family val="2"/>
      <charset val="204"/>
      <scheme val="minor"/>
    </font>
    <font>
      <sz val="10"/>
      <color theme="1"/>
      <name val="Times New Roman"/>
      <family val="1"/>
      <charset val="204"/>
    </font>
    <font>
      <b/>
      <sz val="10"/>
      <color rgb="FFC00000"/>
      <name val="Times New Roman"/>
      <family val="1"/>
      <charset val="204"/>
    </font>
    <font>
      <b/>
      <sz val="10"/>
      <color rgb="FF009900"/>
      <name val="Times New Roman"/>
      <family val="1"/>
      <charset val="204"/>
    </font>
    <font>
      <b/>
      <sz val="10"/>
      <color rgb="FF0000FF"/>
      <name val="Times New Roman"/>
      <family val="1"/>
      <charset val="204"/>
    </font>
    <font>
      <sz val="14"/>
      <name val="Arial Cyr"/>
      <charset val="204"/>
    </font>
    <font>
      <sz val="10"/>
      <name val="Arial Cyr"/>
      <charset val="204"/>
    </font>
    <font>
      <sz val="10"/>
      <name val="Arial Cyr"/>
    </font>
    <font>
      <sz val="11"/>
      <name val="Calibri"/>
      <family val="2"/>
      <charset val="204"/>
      <scheme val="minor"/>
    </font>
    <font>
      <b/>
      <sz val="11"/>
      <name val="Calibri"/>
      <family val="2"/>
      <charset val="204"/>
      <scheme val="minor"/>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99FF99"/>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26" fillId="0" borderId="0"/>
  </cellStyleXfs>
  <cellXfs count="102">
    <xf numFmtId="0" fontId="0" fillId="0" borderId="0" xfId="0"/>
    <xf numFmtId="0" fontId="2" fillId="0" borderId="1" xfId="0" applyFont="1" applyBorder="1" applyAlignment="1">
      <alignment horizontal="center" wrapText="1"/>
    </xf>
    <xf numFmtId="0" fontId="3" fillId="0" borderId="0" xfId="0" applyFont="1"/>
    <xf numFmtId="0" fontId="5" fillId="0" borderId="0" xfId="0" applyFont="1"/>
    <xf numFmtId="0" fontId="1" fillId="0" borderId="0" xfId="0" applyFont="1"/>
    <xf numFmtId="2" fontId="3" fillId="0" borderId="1" xfId="0" applyNumberFormat="1" applyFont="1" applyBorder="1" applyAlignment="1">
      <alignment horizontal="center" vertical="center"/>
    </xf>
    <xf numFmtId="0" fontId="3" fillId="0" borderId="1" xfId="0" applyFont="1" applyBorder="1" applyAlignment="1">
      <alignment horizontal="center"/>
    </xf>
    <xf numFmtId="2" fontId="9" fillId="0" borderId="1" xfId="0" applyNumberFormat="1" applyFont="1" applyBorder="1" applyAlignment="1">
      <alignment horizontal="center" vertical="center"/>
    </xf>
    <xf numFmtId="0" fontId="9" fillId="0" borderId="0" xfId="0" applyFont="1"/>
    <xf numFmtId="0" fontId="10"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xf>
    <xf numFmtId="1" fontId="0" fillId="0" borderId="0" xfId="0" applyNumberFormat="1"/>
    <xf numFmtId="0" fontId="0" fillId="4" borderId="0" xfId="0" applyFill="1"/>
    <xf numFmtId="0" fontId="0" fillId="5" borderId="0" xfId="0" applyFill="1"/>
    <xf numFmtId="2" fontId="9" fillId="0" borderId="0" xfId="0" applyNumberFormat="1" applyFont="1" applyAlignment="1">
      <alignment horizontal="center" vertical="center"/>
    </xf>
    <xf numFmtId="0" fontId="14" fillId="0" borderId="1" xfId="0" applyFont="1" applyBorder="1" applyAlignment="1" applyProtection="1">
      <alignment horizontal="center" vertical="center" wrapText="1"/>
      <protection locked="0"/>
    </xf>
    <xf numFmtId="0" fontId="2" fillId="0" borderId="2" xfId="0" applyFont="1" applyBorder="1" applyAlignment="1">
      <alignment horizontal="center" wrapText="1"/>
    </xf>
    <xf numFmtId="0" fontId="3" fillId="0" borderId="2" xfId="0" applyFont="1" applyBorder="1" applyAlignment="1">
      <alignment horizontal="center"/>
    </xf>
    <xf numFmtId="0" fontId="5" fillId="0" borderId="7" xfId="0" applyFont="1" applyBorder="1" applyAlignment="1">
      <alignment horizontal="right" wrapText="1"/>
    </xf>
    <xf numFmtId="2" fontId="5" fillId="0" borderId="1" xfId="0" applyNumberFormat="1" applyFont="1" applyBorder="1" applyAlignment="1">
      <alignment horizontal="center" vertical="center" wrapText="1"/>
    </xf>
    <xf numFmtId="0" fontId="5" fillId="0" borderId="5" xfId="0" applyFont="1" applyBorder="1" applyAlignment="1">
      <alignment horizontal="right" wrapText="1"/>
    </xf>
    <xf numFmtId="2" fontId="8" fillId="0" borderId="1" xfId="0" applyNumberFormat="1" applyFont="1" applyBorder="1" applyAlignment="1">
      <alignment horizontal="center" vertical="center" wrapText="1"/>
    </xf>
    <xf numFmtId="0" fontId="5" fillId="0" borderId="7" xfId="0" applyFont="1" applyBorder="1" applyAlignment="1">
      <alignment horizontal="right" vertical="top" wrapText="1"/>
    </xf>
    <xf numFmtId="0" fontId="5" fillId="0" borderId="1" xfId="0" applyFont="1" applyBorder="1" applyAlignment="1">
      <alignment horizontal="right" vertical="top" wrapText="1"/>
    </xf>
    <xf numFmtId="2" fontId="5" fillId="0" borderId="3" xfId="0" applyNumberFormat="1" applyFont="1" applyBorder="1" applyAlignment="1">
      <alignment horizontal="center" vertical="center" wrapText="1"/>
    </xf>
    <xf numFmtId="2" fontId="9" fillId="3" borderId="1" xfId="0" applyNumberFormat="1" applyFont="1" applyFill="1" applyBorder="1" applyAlignment="1">
      <alignment horizontal="center" vertical="center"/>
    </xf>
    <xf numFmtId="2" fontId="9" fillId="2" borderId="1" xfId="0" applyNumberFormat="1" applyFont="1" applyFill="1" applyBorder="1" applyAlignment="1">
      <alignment horizontal="center" vertical="center"/>
    </xf>
    <xf numFmtId="1" fontId="15" fillId="0" borderId="0" xfId="0" quotePrefix="1" applyNumberFormat="1" applyFont="1" applyAlignment="1">
      <alignment horizontal="center" vertical="center"/>
    </xf>
    <xf numFmtId="1" fontId="3" fillId="0" borderId="0" xfId="0" applyNumberFormat="1" applyFont="1" applyAlignment="1">
      <alignment horizontal="center" vertical="center"/>
    </xf>
    <xf numFmtId="2" fontId="5" fillId="0" borderId="6" xfId="0" applyNumberFormat="1" applyFont="1" applyBorder="1" applyAlignment="1">
      <alignment horizontal="center" vertical="center" wrapText="1"/>
    </xf>
    <xf numFmtId="2" fontId="8" fillId="0" borderId="6" xfId="0" applyNumberFormat="1" applyFont="1" applyBorder="1" applyAlignment="1">
      <alignment horizontal="center" vertical="center" wrapText="1"/>
    </xf>
    <xf numFmtId="0" fontId="2" fillId="0" borderId="5" xfId="0" applyFont="1" applyBorder="1" applyAlignment="1">
      <alignment horizontal="left" vertical="top" wrapText="1"/>
    </xf>
    <xf numFmtId="0" fontId="5" fillId="0" borderId="7" xfId="0" applyFont="1" applyBorder="1" applyAlignment="1">
      <alignment horizontal="left" vertical="top" wrapText="1"/>
    </xf>
    <xf numFmtId="0" fontId="2" fillId="0" borderId="7" xfId="0" applyFont="1" applyBorder="1" applyAlignment="1">
      <alignment horizontal="left" vertical="top" wrapText="1"/>
    </xf>
    <xf numFmtId="0" fontId="16" fillId="0" borderId="7" xfId="0" applyFont="1" applyBorder="1" applyAlignment="1">
      <alignment vertical="center"/>
    </xf>
    <xf numFmtId="0" fontId="16" fillId="0" borderId="12" xfId="0" applyFont="1" applyBorder="1" applyAlignment="1">
      <alignment vertical="center"/>
    </xf>
    <xf numFmtId="0" fontId="16" fillId="0" borderId="1" xfId="0" applyFont="1" applyBorder="1" applyAlignment="1">
      <alignment vertical="center"/>
    </xf>
    <xf numFmtId="0" fontId="16" fillId="0" borderId="5" xfId="0" applyFont="1" applyBorder="1" applyAlignment="1">
      <alignment vertical="center"/>
    </xf>
    <xf numFmtId="165" fontId="0" fillId="0" borderId="0" xfId="0" applyNumberFormat="1" applyAlignment="1">
      <alignment horizontal="center"/>
    </xf>
    <xf numFmtId="0" fontId="17" fillId="6" borderId="0" xfId="0" applyFont="1" applyFill="1" applyAlignment="1" applyProtection="1">
      <alignment horizontal="center" vertical="center"/>
      <protection locked="0"/>
    </xf>
    <xf numFmtId="2" fontId="19" fillId="0" borderId="0" xfId="0" applyNumberFormat="1" applyFont="1"/>
    <xf numFmtId="0" fontId="2" fillId="2" borderId="3" xfId="0" applyFont="1" applyFill="1" applyBorder="1" applyAlignment="1">
      <alignment horizontal="center" vertical="center" wrapText="1"/>
    </xf>
    <xf numFmtId="0" fontId="5" fillId="2" borderId="3" xfId="0" applyFont="1" applyFill="1" applyBorder="1" applyAlignment="1">
      <alignment horizontal="right" wrapText="1"/>
    </xf>
    <xf numFmtId="2" fontId="5" fillId="2" borderId="3" xfId="0" applyNumberFormat="1" applyFont="1" applyFill="1" applyBorder="1" applyAlignment="1">
      <alignment horizontal="center" vertical="center" wrapText="1"/>
    </xf>
    <xf numFmtId="2" fontId="5" fillId="2" borderId="1" xfId="0" applyNumberFormat="1" applyFont="1" applyFill="1" applyBorder="1" applyAlignment="1">
      <alignment horizontal="center" vertical="center" wrapText="1"/>
    </xf>
    <xf numFmtId="0" fontId="5" fillId="2" borderId="3" xfId="0" applyFont="1" applyFill="1" applyBorder="1" applyAlignment="1">
      <alignment horizontal="right" vertical="top" wrapText="1"/>
    </xf>
    <xf numFmtId="0" fontId="0" fillId="2" borderId="0" xfId="0" applyFill="1"/>
    <xf numFmtId="0" fontId="5" fillId="3" borderId="1" xfId="0" applyFont="1" applyFill="1" applyBorder="1" applyAlignment="1">
      <alignment horizontal="right" vertical="top" wrapText="1"/>
    </xf>
    <xf numFmtId="0" fontId="20" fillId="0" borderId="0" xfId="0" applyFont="1" applyAlignment="1">
      <alignment vertical="center"/>
    </xf>
    <xf numFmtId="1" fontId="18" fillId="0" borderId="0" xfId="0" applyNumberFormat="1" applyFont="1" applyAlignment="1">
      <alignment horizontal="left" vertical="top"/>
    </xf>
    <xf numFmtId="1" fontId="5" fillId="8" borderId="0" xfId="0" applyNumberFormat="1" applyFont="1" applyFill="1" applyAlignment="1">
      <alignment horizontal="left" vertical="top" wrapText="1"/>
    </xf>
    <xf numFmtId="2" fontId="19" fillId="9" borderId="0" xfId="0" applyNumberFormat="1" applyFont="1" applyFill="1"/>
    <xf numFmtId="2" fontId="5" fillId="9" borderId="1" xfId="0" applyNumberFormat="1" applyFont="1" applyFill="1" applyBorder="1" applyAlignment="1">
      <alignment horizontal="center" vertical="center" wrapText="1"/>
    </xf>
    <xf numFmtId="0" fontId="9" fillId="0" borderId="0" xfId="0" applyFont="1" applyAlignment="1">
      <alignment horizontal="right"/>
    </xf>
    <xf numFmtId="0" fontId="25" fillId="0" borderId="0" xfId="0" applyFont="1" applyAlignment="1">
      <alignment horizontal="right" vertical="center" wrapText="1"/>
    </xf>
    <xf numFmtId="0" fontId="26" fillId="0" borderId="0" xfId="1"/>
    <xf numFmtId="0" fontId="24" fillId="0" borderId="0" xfId="1" applyFont="1" applyAlignment="1">
      <alignment horizontal="right" vertical="center" wrapText="1"/>
    </xf>
    <xf numFmtId="0" fontId="27" fillId="0" borderId="0" xfId="1" applyFont="1" applyAlignment="1">
      <alignment horizontal="right" vertical="center" wrapText="1"/>
    </xf>
    <xf numFmtId="0" fontId="28" fillId="0" borderId="0" xfId="1" applyFont="1" applyAlignment="1">
      <alignment horizontal="right" vertical="center" wrapText="1"/>
    </xf>
    <xf numFmtId="0" fontId="27" fillId="0" borderId="0" xfId="1" applyFont="1"/>
    <xf numFmtId="2" fontId="5" fillId="11" borderId="1" xfId="0" applyNumberFormat="1" applyFont="1" applyFill="1" applyBorder="1" applyAlignment="1">
      <alignment horizontal="center" vertical="center" wrapText="1"/>
    </xf>
    <xf numFmtId="2" fontId="5" fillId="12" borderId="1" xfId="0" applyNumberFormat="1" applyFont="1" applyFill="1" applyBorder="1" applyAlignment="1">
      <alignment horizontal="center" vertical="center" wrapText="1"/>
    </xf>
    <xf numFmtId="2" fontId="19" fillId="4" borderId="0" xfId="0" applyNumberFormat="1" applyFont="1" applyFill="1"/>
    <xf numFmtId="2" fontId="9" fillId="0" borderId="0" xfId="0" applyNumberFormat="1" applyFont="1"/>
    <xf numFmtId="2" fontId="9" fillId="0" borderId="0" xfId="0" applyNumberFormat="1" applyFont="1" applyAlignment="1">
      <alignment horizontal="right"/>
    </xf>
    <xf numFmtId="0" fontId="3" fillId="0" borderId="0" xfId="0" applyFont="1" applyAlignment="1">
      <alignment horizontal="right"/>
    </xf>
    <xf numFmtId="0" fontId="25" fillId="0" borderId="0" xfId="0" applyNumberFormat="1" applyFont="1" applyFill="1" applyBorder="1" applyAlignment="1">
      <alignment horizontal="right" vertical="center" wrapText="1"/>
    </xf>
    <xf numFmtId="0" fontId="25" fillId="0" borderId="0" xfId="0" applyFont="1" applyFill="1" applyBorder="1" applyAlignment="1">
      <alignment horizontal="right" vertical="center" wrapText="1"/>
    </xf>
    <xf numFmtId="0" fontId="25" fillId="4" borderId="0" xfId="0" applyFont="1" applyFill="1" applyBorder="1" applyAlignment="1">
      <alignment horizontal="right" vertical="center" wrapText="1"/>
    </xf>
    <xf numFmtId="0" fontId="25" fillId="7" borderId="0" xfId="0" applyFont="1" applyFill="1" applyBorder="1" applyAlignment="1">
      <alignment horizontal="right" vertical="center" wrapText="1"/>
    </xf>
    <xf numFmtId="0" fontId="25" fillId="10" borderId="0" xfId="0" applyFont="1" applyFill="1" applyBorder="1" applyAlignment="1">
      <alignment horizontal="right" vertical="center" wrapText="1"/>
    </xf>
    <xf numFmtId="0" fontId="25" fillId="0" borderId="0" xfId="0" applyFont="1" applyFill="1" applyAlignment="1">
      <alignment horizontal="right" vertical="center" wrapText="1"/>
    </xf>
    <xf numFmtId="164" fontId="25" fillId="4" borderId="0" xfId="0" applyNumberFormat="1" applyFont="1" applyFill="1" applyBorder="1" applyAlignment="1">
      <alignment horizontal="right" vertical="center" wrapText="1"/>
    </xf>
    <xf numFmtId="164" fontId="25" fillId="0" borderId="0" xfId="0" applyNumberFormat="1" applyFont="1" applyFill="1" applyBorder="1" applyAlignment="1">
      <alignment horizontal="right" vertical="center" wrapText="1"/>
    </xf>
    <xf numFmtId="164" fontId="25" fillId="7" borderId="0" xfId="0" applyNumberFormat="1" applyFont="1" applyFill="1" applyBorder="1" applyAlignment="1">
      <alignment horizontal="right" vertical="center" wrapText="1"/>
    </xf>
    <xf numFmtId="164" fontId="25" fillId="10" borderId="0" xfId="0" applyNumberFormat="1" applyFont="1" applyFill="1" applyBorder="1" applyAlignment="1">
      <alignment horizontal="right" vertical="center" wrapText="1"/>
    </xf>
    <xf numFmtId="164" fontId="25" fillId="0" borderId="0" xfId="0" applyNumberFormat="1" applyFont="1" applyFill="1" applyAlignment="1">
      <alignment horizontal="right" vertical="center" wrapText="1"/>
    </xf>
    <xf numFmtId="0" fontId="2" fillId="0" borderId="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3" fillId="2" borderId="7" xfId="0" applyFont="1" applyFill="1" applyBorder="1" applyAlignment="1">
      <alignment horizontal="center"/>
    </xf>
    <xf numFmtId="0" fontId="3" fillId="2" borderId="9" xfId="0" applyFont="1" applyFill="1" applyBorder="1" applyAlignment="1">
      <alignment horizontal="center"/>
    </xf>
    <xf numFmtId="0" fontId="3" fillId="2" borderId="6" xfId="0" applyFont="1" applyFill="1" applyBorder="1" applyAlignment="1">
      <alignment horizontal="center"/>
    </xf>
    <xf numFmtId="0" fontId="3" fillId="2" borderId="1" xfId="0" applyFont="1" applyFill="1" applyBorder="1" applyAlignment="1">
      <alignment horizontal="center"/>
    </xf>
    <xf numFmtId="0" fontId="2" fillId="0" borderId="1" xfId="0" applyFont="1" applyBorder="1" applyAlignment="1">
      <alignment horizontal="center" vertical="center" wrapText="1"/>
    </xf>
    <xf numFmtId="0" fontId="0" fillId="0" borderId="7" xfId="0" applyBorder="1" applyAlignment="1">
      <alignment horizontal="center"/>
    </xf>
    <xf numFmtId="0" fontId="0" fillId="0" borderId="9" xfId="0" applyBorder="1" applyAlignment="1">
      <alignment horizontal="center"/>
    </xf>
    <xf numFmtId="0" fontId="0" fillId="0" borderId="6" xfId="0" applyBorder="1" applyAlignment="1">
      <alignment horizontal="center"/>
    </xf>
    <xf numFmtId="0" fontId="6" fillId="0" borderId="1" xfId="0" applyFont="1" applyBorder="1" applyAlignment="1">
      <alignment horizontal="center" wrapText="1"/>
    </xf>
    <xf numFmtId="0" fontId="6" fillId="0" borderId="2" xfId="0" applyFont="1" applyBorder="1" applyAlignment="1">
      <alignment horizontal="center" wrapText="1"/>
    </xf>
    <xf numFmtId="0" fontId="4" fillId="0" borderId="7"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 xfId="0" applyFont="1" applyBorder="1" applyAlignment="1">
      <alignment horizontal="center" vertical="center" wrapText="1"/>
    </xf>
    <xf numFmtId="2" fontId="5" fillId="0" borderId="1" xfId="0" applyNumberFormat="1" applyFont="1" applyFill="1" applyBorder="1" applyAlignment="1">
      <alignment horizontal="center" vertical="center" wrapText="1"/>
    </xf>
    <xf numFmtId="2" fontId="9" fillId="0" borderId="0" xfId="0" applyNumberFormat="1" applyFont="1" applyFill="1" applyAlignment="1">
      <alignment horizontal="center" vertical="center"/>
    </xf>
    <xf numFmtId="2" fontId="0" fillId="0" borderId="0" xfId="0" applyNumberFormat="1" applyFill="1"/>
    <xf numFmtId="1" fontId="0" fillId="0" borderId="0" xfId="0" applyNumberFormat="1" applyFill="1"/>
  </cellXfs>
  <cellStyles count="2">
    <cellStyle name="Обычный" xfId="0" builtinId="0"/>
    <cellStyle name="Обычный 2" xfId="1"/>
  </cellStyles>
  <dxfs count="906">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
      <font>
        <color rgb="FF009900"/>
      </font>
    </dxf>
    <dxf>
      <font>
        <color rgb="FF0000FF"/>
      </font>
    </dxf>
    <dxf>
      <font>
        <color rgb="FFC00000"/>
      </font>
    </dxf>
  </dxfs>
  <tableStyles count="0" defaultTableStyle="TableStyleMedium9" defaultPivotStyle="PivotStyleLight16"/>
  <colors>
    <mruColors>
      <color rgb="FF009900"/>
      <color rgb="FF0000FF"/>
      <color rgb="FFFF0066"/>
      <color rgb="FF99FF33"/>
      <color rgb="FF33CC33"/>
      <color rgb="FF996633"/>
      <color rgb="FFCCCC00"/>
      <color rgb="FF669900"/>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ru-RU" sz="1200" b="1" i="0" u="none" strike="noStrike" baseline="0">
                <a:effectLst/>
              </a:rPr>
              <a:t>Средние показатели выполнения видов деятельности </a:t>
            </a:r>
            <a:endParaRPr lang="ru-RU" sz="1200"/>
          </a:p>
        </c:rich>
      </c:tx>
      <c:layout>
        <c:manualLayout>
          <c:xMode val="edge"/>
          <c:yMode val="edge"/>
          <c:x val="0.22571837050563753"/>
          <c:y val="0"/>
        </c:manualLayout>
      </c:layout>
      <c:overlay val="0"/>
    </c:title>
    <c:autoTitleDeleted val="0"/>
    <c:plotArea>
      <c:layout>
        <c:manualLayout>
          <c:layoutTarget val="inner"/>
          <c:xMode val="edge"/>
          <c:yMode val="edge"/>
          <c:x val="0.14020524153756639"/>
          <c:y val="0.18633522332848731"/>
          <c:w val="0.47589463288287676"/>
          <c:h val="0.56914781060046304"/>
        </c:manualLayout>
      </c:layout>
      <c:barChart>
        <c:barDir val="col"/>
        <c:grouping val="clustered"/>
        <c:varyColors val="0"/>
        <c:ser>
          <c:idx val="0"/>
          <c:order val="0"/>
          <c:tx>
            <c:strRef>
              <c:f>'Уровень сфори. ОК и ПК'!$CL$14</c:f>
              <c:strCache>
                <c:ptCount val="1"/>
                <c:pt idx="0">
                  <c:v>Самооценка</c:v>
                </c:pt>
              </c:strCache>
            </c:strRef>
          </c:tx>
          <c:invertIfNegative val="0"/>
          <c:cat>
            <c:strRef>
              <c:f>'Уровень сфори. ОК и ПК'!$CM$13:$CN$13</c:f>
              <c:strCache>
                <c:ptCount val="2"/>
                <c:pt idx="0">
                  <c:v>ПК</c:v>
                </c:pt>
                <c:pt idx="1">
                  <c:v>ОК</c:v>
                </c:pt>
              </c:strCache>
            </c:strRef>
          </c:cat>
          <c:val>
            <c:numRef>
              <c:f>'Уровень сфори. ОК и ПК'!$CM$14:$CN$14</c:f>
              <c:numCache>
                <c:formatCode>General</c:formatCode>
                <c:ptCount val="2"/>
                <c:pt idx="0">
                  <c:v>1.71</c:v>
                </c:pt>
                <c:pt idx="1">
                  <c:v>1.8</c:v>
                </c:pt>
              </c:numCache>
            </c:numRef>
          </c:val>
          <c:extLst>
            <c:ext xmlns:c16="http://schemas.microsoft.com/office/drawing/2014/chart" uri="{C3380CC4-5D6E-409C-BE32-E72D297353CC}">
              <c16:uniqueId val="{00000000-49DA-45B6-871C-89530F9B13A1}"/>
            </c:ext>
          </c:extLst>
        </c:ser>
        <c:ser>
          <c:idx val="1"/>
          <c:order val="1"/>
          <c:tx>
            <c:strRef>
              <c:f>'Уровень сфори. ОК и ПК'!$CL$15</c:f>
              <c:strCache>
                <c:ptCount val="1"/>
                <c:pt idx="0">
                  <c:v>Экспертная оценка</c:v>
                </c:pt>
              </c:strCache>
            </c:strRef>
          </c:tx>
          <c:invertIfNegative val="0"/>
          <c:cat>
            <c:strRef>
              <c:f>'Уровень сфори. ОК и ПК'!$CM$13:$CN$13</c:f>
              <c:strCache>
                <c:ptCount val="2"/>
                <c:pt idx="0">
                  <c:v>ПК</c:v>
                </c:pt>
                <c:pt idx="1">
                  <c:v>ОК</c:v>
                </c:pt>
              </c:strCache>
            </c:strRef>
          </c:cat>
          <c:val>
            <c:numRef>
              <c:f>'Уровень сфори. ОК и ПК'!$CM$15:$CN$15</c:f>
              <c:numCache>
                <c:formatCode>General</c:formatCode>
                <c:ptCount val="2"/>
                <c:pt idx="0">
                  <c:v>1.68</c:v>
                </c:pt>
                <c:pt idx="1">
                  <c:v>1.72</c:v>
                </c:pt>
              </c:numCache>
            </c:numRef>
          </c:val>
          <c:extLst>
            <c:ext xmlns:c16="http://schemas.microsoft.com/office/drawing/2014/chart" uri="{C3380CC4-5D6E-409C-BE32-E72D297353CC}">
              <c16:uniqueId val="{00000001-49DA-45B6-871C-89530F9B13A1}"/>
            </c:ext>
          </c:extLst>
        </c:ser>
        <c:dLbls>
          <c:showLegendKey val="0"/>
          <c:showVal val="0"/>
          <c:showCatName val="0"/>
          <c:showSerName val="0"/>
          <c:showPercent val="0"/>
          <c:showBubbleSize val="0"/>
        </c:dLbls>
        <c:gapWidth val="150"/>
        <c:axId val="121366784"/>
        <c:axId val="121368576"/>
      </c:barChart>
      <c:catAx>
        <c:axId val="121366784"/>
        <c:scaling>
          <c:orientation val="minMax"/>
        </c:scaling>
        <c:delete val="0"/>
        <c:axPos val="b"/>
        <c:numFmt formatCode="General" sourceLinked="0"/>
        <c:majorTickMark val="out"/>
        <c:minorTickMark val="none"/>
        <c:tickLblPos val="nextTo"/>
        <c:crossAx val="121368576"/>
        <c:crosses val="autoZero"/>
        <c:auto val="1"/>
        <c:lblAlgn val="ctr"/>
        <c:lblOffset val="100"/>
        <c:noMultiLvlLbl val="0"/>
      </c:catAx>
      <c:valAx>
        <c:axId val="121368576"/>
        <c:scaling>
          <c:orientation val="minMax"/>
        </c:scaling>
        <c:delete val="0"/>
        <c:axPos val="l"/>
        <c:majorGridlines/>
        <c:numFmt formatCode="General" sourceLinked="1"/>
        <c:majorTickMark val="out"/>
        <c:minorTickMark val="none"/>
        <c:tickLblPos val="nextTo"/>
        <c:crossAx val="1213667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ru-RU" sz="1100"/>
              <a:t>Средние показатели оценки по профессиональным компетенциям</a:t>
            </a:r>
          </a:p>
        </c:rich>
      </c:tx>
      <c:layout/>
      <c:overlay val="0"/>
    </c:title>
    <c:autoTitleDeleted val="0"/>
    <c:plotArea>
      <c:layout>
        <c:manualLayout>
          <c:layoutTarget val="inner"/>
          <c:xMode val="edge"/>
          <c:yMode val="edge"/>
          <c:x val="0.10233536814104968"/>
          <c:y val="0.28133916238859963"/>
          <c:w val="0.60204412918187089"/>
          <c:h val="0.56157229004646481"/>
        </c:manualLayout>
      </c:layout>
      <c:barChart>
        <c:barDir val="col"/>
        <c:grouping val="clustered"/>
        <c:varyColors val="0"/>
        <c:ser>
          <c:idx val="0"/>
          <c:order val="0"/>
          <c:tx>
            <c:strRef>
              <c:f>'Уровень сфори. ОК и ПК'!$CN$80</c:f>
              <c:strCache>
                <c:ptCount val="1"/>
                <c:pt idx="0">
                  <c:v>Самооценка</c:v>
                </c:pt>
              </c:strCache>
            </c:strRef>
          </c:tx>
          <c:invertIfNegative val="0"/>
          <c:cat>
            <c:strRef>
              <c:f>'Уровень сфори. ОК и ПК'!$CM$81:$CM$85</c:f>
              <c:strCache>
                <c:ptCount val="5"/>
                <c:pt idx="0">
                  <c:v>ПК 3.1</c:v>
                </c:pt>
                <c:pt idx="1">
                  <c:v>ПК 3.2</c:v>
                </c:pt>
                <c:pt idx="2">
                  <c:v>ПК 3.3</c:v>
                </c:pt>
                <c:pt idx="3">
                  <c:v>ПК 3.4</c:v>
                </c:pt>
                <c:pt idx="4">
                  <c:v>ПК 3.5</c:v>
                </c:pt>
              </c:strCache>
            </c:strRef>
          </c:cat>
          <c:val>
            <c:numRef>
              <c:f>'Уровень сфори. ОК и ПК'!$CN$81:$CN$85</c:f>
              <c:numCache>
                <c:formatCode>0.00</c:formatCode>
                <c:ptCount val="5"/>
                <c:pt idx="0">
                  <c:v>1.6234567901234569</c:v>
                </c:pt>
                <c:pt idx="1">
                  <c:v>1.7037037037037037</c:v>
                </c:pt>
                <c:pt idx="2">
                  <c:v>1.6759259259259258</c:v>
                </c:pt>
                <c:pt idx="3">
                  <c:v>1.6851851851851851</c:v>
                </c:pt>
                <c:pt idx="4">
                  <c:v>1.6851851851851851</c:v>
                </c:pt>
              </c:numCache>
            </c:numRef>
          </c:val>
          <c:extLst>
            <c:ext xmlns:c16="http://schemas.microsoft.com/office/drawing/2014/chart" uri="{C3380CC4-5D6E-409C-BE32-E72D297353CC}">
              <c16:uniqueId val="{00000000-9CB8-409C-B569-717AE70BF600}"/>
            </c:ext>
          </c:extLst>
        </c:ser>
        <c:ser>
          <c:idx val="1"/>
          <c:order val="1"/>
          <c:tx>
            <c:strRef>
              <c:f>'Уровень сфори. ОК и ПК'!$CO$80</c:f>
              <c:strCache>
                <c:ptCount val="1"/>
                <c:pt idx="0">
                  <c:v>Экспертная оценка</c:v>
                </c:pt>
              </c:strCache>
            </c:strRef>
          </c:tx>
          <c:invertIfNegative val="0"/>
          <c:cat>
            <c:strRef>
              <c:f>'Уровень сфори. ОК и ПК'!$CM$81:$CM$85</c:f>
              <c:strCache>
                <c:ptCount val="5"/>
                <c:pt idx="0">
                  <c:v>ПК 3.1</c:v>
                </c:pt>
                <c:pt idx="1">
                  <c:v>ПК 3.2</c:v>
                </c:pt>
                <c:pt idx="2">
                  <c:v>ПК 3.3</c:v>
                </c:pt>
                <c:pt idx="3">
                  <c:v>ПК 3.4</c:v>
                </c:pt>
                <c:pt idx="4">
                  <c:v>ПК 3.5</c:v>
                </c:pt>
              </c:strCache>
            </c:strRef>
          </c:cat>
          <c:val>
            <c:numRef>
              <c:f>'Уровень сфори. ОК и ПК'!$CO$81:$CO$85</c:f>
              <c:numCache>
                <c:formatCode>0.00</c:formatCode>
                <c:ptCount val="5"/>
                <c:pt idx="0">
                  <c:v>1.6296296296296295</c:v>
                </c:pt>
                <c:pt idx="1">
                  <c:v>1.6814814814814814</c:v>
                </c:pt>
                <c:pt idx="2">
                  <c:v>1.6759259259259258</c:v>
                </c:pt>
                <c:pt idx="3">
                  <c:v>1.6759259259259258</c:v>
                </c:pt>
                <c:pt idx="4">
                  <c:v>1.6574074074074074</c:v>
                </c:pt>
              </c:numCache>
            </c:numRef>
          </c:val>
          <c:extLst>
            <c:ext xmlns:c16="http://schemas.microsoft.com/office/drawing/2014/chart" uri="{C3380CC4-5D6E-409C-BE32-E72D297353CC}">
              <c16:uniqueId val="{00000001-9CB8-409C-B569-717AE70BF600}"/>
            </c:ext>
          </c:extLst>
        </c:ser>
        <c:dLbls>
          <c:showLegendKey val="0"/>
          <c:showVal val="0"/>
          <c:showCatName val="0"/>
          <c:showSerName val="0"/>
          <c:showPercent val="0"/>
          <c:showBubbleSize val="0"/>
        </c:dLbls>
        <c:gapWidth val="150"/>
        <c:axId val="121710080"/>
        <c:axId val="121711616"/>
      </c:barChart>
      <c:catAx>
        <c:axId val="121710080"/>
        <c:scaling>
          <c:orientation val="minMax"/>
        </c:scaling>
        <c:delete val="0"/>
        <c:axPos val="b"/>
        <c:numFmt formatCode="General" sourceLinked="1"/>
        <c:majorTickMark val="out"/>
        <c:minorTickMark val="none"/>
        <c:tickLblPos val="nextTo"/>
        <c:crossAx val="121711616"/>
        <c:crosses val="autoZero"/>
        <c:auto val="1"/>
        <c:lblAlgn val="ctr"/>
        <c:lblOffset val="100"/>
        <c:noMultiLvlLbl val="0"/>
      </c:catAx>
      <c:valAx>
        <c:axId val="121711616"/>
        <c:scaling>
          <c:orientation val="minMax"/>
        </c:scaling>
        <c:delete val="0"/>
        <c:axPos val="l"/>
        <c:majorGridlines/>
        <c:numFmt formatCode="0.00" sourceLinked="1"/>
        <c:majorTickMark val="out"/>
        <c:minorTickMark val="none"/>
        <c:tickLblPos val="nextTo"/>
        <c:crossAx val="121710080"/>
        <c:crosses val="autoZero"/>
        <c:crossBetween val="between"/>
      </c:valAx>
    </c:plotArea>
    <c:legend>
      <c:legendPos val="r"/>
      <c:layout>
        <c:manualLayout>
          <c:xMode val="edge"/>
          <c:yMode val="edge"/>
          <c:x val="0.73390411631835828"/>
          <c:y val="0.33609579891053504"/>
          <c:w val="0.24868541848406486"/>
          <c:h val="0.35594122419433877"/>
        </c:manualLayout>
      </c:layout>
      <c:overlay val="0"/>
      <c:txPr>
        <a:bodyPr/>
        <a:lstStyle/>
        <a:p>
          <a:pPr>
            <a:defRPr sz="1000"/>
          </a:pPr>
          <a:endParaRPr lang="ru-RU"/>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88</xdr:col>
      <xdr:colOff>147635</xdr:colOff>
      <xdr:row>26</xdr:row>
      <xdr:rowOff>0</xdr:rowOff>
    </xdr:from>
    <xdr:to>
      <xdr:col>96</xdr:col>
      <xdr:colOff>13165</xdr:colOff>
      <xdr:row>46</xdr:row>
      <xdr:rowOff>0</xdr:rowOff>
    </xdr:to>
    <xdr:graphicFrame macro="">
      <xdr:nvGraphicFramePr>
        <xdr:cNvPr id="2" name="Диаграмма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90</xdr:col>
      <xdr:colOff>335281</xdr:colOff>
      <xdr:row>46</xdr:row>
      <xdr:rowOff>0</xdr:rowOff>
    </xdr:from>
    <xdr:to>
      <xdr:col>97</xdr:col>
      <xdr:colOff>466531</xdr:colOff>
      <xdr:row>56</xdr:row>
      <xdr:rowOff>77755</xdr:rowOff>
    </xdr:to>
    <xdr:graphicFrame macro="">
      <xdr:nvGraphicFramePr>
        <xdr:cNvPr id="3" name="Диаграмма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10</xdr:row>
      <xdr:rowOff>0</xdr:rowOff>
    </xdr:from>
    <xdr:to>
      <xdr:col>25</xdr:col>
      <xdr:colOff>41712</xdr:colOff>
      <xdr:row>35</xdr:row>
      <xdr:rowOff>133198</xdr:rowOff>
    </xdr:to>
    <xdr:pic>
      <xdr:nvPicPr>
        <xdr:cNvPr id="4" name="Рисунок 3">
          <a:extLst>
            <a:ext uri="{FF2B5EF4-FFF2-40B4-BE49-F238E27FC236}">
              <a16:creationId xmlns:a16="http://schemas.microsoft.com/office/drawing/2014/main" id="{B73E8871-3CCF-48B6-B20E-980ADADC8C6F}"/>
            </a:ext>
          </a:extLst>
        </xdr:cNvPr>
        <xdr:cNvPicPr>
          <a:picLocks noChangeAspect="1"/>
        </xdr:cNvPicPr>
      </xdr:nvPicPr>
      <xdr:blipFill>
        <a:blip xmlns:r="http://schemas.openxmlformats.org/officeDocument/2006/relationships" r:embed="rId1"/>
        <a:stretch>
          <a:fillRect/>
        </a:stretch>
      </xdr:blipFill>
      <xdr:spPr>
        <a:xfrm>
          <a:off x="7924800" y="1905000"/>
          <a:ext cx="7857143" cy="4819048"/>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CY100"/>
  <sheetViews>
    <sheetView tabSelected="1" zoomScale="130" zoomScaleNormal="130" workbookViewId="0">
      <selection activeCell="E11" sqref="E11"/>
    </sheetView>
  </sheetViews>
  <sheetFormatPr defaultRowHeight="15" outlineLevelRow="1" outlineLevelCol="1" x14ac:dyDescent="0.25"/>
  <cols>
    <col min="1" max="1" width="15.85546875" customWidth="1"/>
    <col min="2" max="2" width="14.28515625" customWidth="1"/>
    <col min="3" max="4" width="4.7109375" customWidth="1" outlineLevel="1"/>
    <col min="5" max="5" width="4.28515625" customWidth="1"/>
    <col min="6" max="7" width="4.7109375" customWidth="1" outlineLevel="1"/>
    <col min="8" max="8" width="4.7109375" customWidth="1"/>
    <col min="9" max="10" width="4.7109375" customWidth="1" outlineLevel="1"/>
    <col min="11" max="11" width="4.7109375" customWidth="1"/>
    <col min="12" max="13" width="4.7109375" customWidth="1" outlineLevel="1"/>
    <col min="14" max="14" width="4.7109375" customWidth="1"/>
    <col min="15" max="16" width="4.7109375" customWidth="1" outlineLevel="1"/>
    <col min="17" max="17" width="4.7109375" customWidth="1"/>
    <col min="18" max="19" width="4.7109375" customWidth="1" outlineLevel="1"/>
    <col min="20" max="20" width="4.7109375" customWidth="1"/>
    <col min="21" max="22" width="4.7109375" customWidth="1" outlineLevel="1"/>
    <col min="23" max="23" width="4.7109375" customWidth="1"/>
    <col min="24" max="25" width="4.7109375" customWidth="1" outlineLevel="1"/>
    <col min="26" max="26" width="4.7109375" customWidth="1"/>
    <col min="27" max="28" width="4.7109375" customWidth="1" outlineLevel="1"/>
    <col min="29" max="29" width="4.7109375" customWidth="1"/>
    <col min="30" max="31" width="4.7109375" customWidth="1" outlineLevel="1"/>
    <col min="32" max="32" width="4.7109375" customWidth="1"/>
    <col min="33" max="34" width="4.7109375" customWidth="1" outlineLevel="1"/>
    <col min="35" max="35" width="4.7109375" customWidth="1"/>
    <col min="36" max="37" width="4.7109375" customWidth="1" outlineLevel="1"/>
    <col min="38" max="38" width="4.7109375" customWidth="1"/>
    <col min="39" max="40" width="4.7109375" customWidth="1" outlineLevel="1"/>
    <col min="41" max="41" width="4.7109375" customWidth="1"/>
    <col min="42" max="43" width="4.7109375" customWidth="1" outlineLevel="1"/>
    <col min="44" max="44" width="4.7109375" customWidth="1"/>
    <col min="45" max="46" width="4.7109375" customWidth="1" outlineLevel="1"/>
    <col min="47" max="47" width="4.7109375" customWidth="1"/>
    <col min="48" max="49" width="4.7109375" customWidth="1" outlineLevel="1"/>
    <col min="50" max="50" width="4.7109375" customWidth="1"/>
    <col min="51" max="52" width="4.7109375" customWidth="1" outlineLevel="1"/>
    <col min="53" max="53" width="4.7109375" customWidth="1"/>
    <col min="54" max="55" width="4.7109375" customWidth="1" outlineLevel="1"/>
    <col min="56" max="56" width="4.7109375" customWidth="1"/>
    <col min="57" max="58" width="4.7109375" customWidth="1" outlineLevel="1"/>
    <col min="59" max="59" width="4.7109375" customWidth="1"/>
    <col min="60" max="61" width="4.7109375" customWidth="1" outlineLevel="1"/>
    <col min="62" max="62" width="4.7109375" customWidth="1"/>
    <col min="63" max="64" width="4.7109375" customWidth="1" outlineLevel="1"/>
    <col min="65" max="65" width="4.7109375" customWidth="1"/>
    <col min="66" max="67" width="4.7109375" customWidth="1" outlineLevel="1"/>
    <col min="68" max="68" width="4.7109375" customWidth="1"/>
    <col min="69" max="70" width="4.7109375" customWidth="1" outlineLevel="1"/>
    <col min="71" max="71" width="4.7109375" customWidth="1"/>
    <col min="72" max="73" width="4.7109375" customWidth="1" outlineLevel="1"/>
    <col min="74" max="74" width="4.7109375" customWidth="1"/>
    <col min="75" max="76" width="4.7109375" customWidth="1" outlineLevel="1"/>
    <col min="77" max="77" width="4.7109375" customWidth="1"/>
    <col min="78" max="79" width="4.7109375" customWidth="1" outlineLevel="1"/>
    <col min="80" max="80" width="4.7109375" customWidth="1"/>
    <col min="81" max="82" width="4.7109375" customWidth="1" outlineLevel="1"/>
    <col min="83" max="83" width="4.7109375" customWidth="1"/>
    <col min="84" max="85" width="4.7109375" customWidth="1" outlineLevel="1"/>
    <col min="86" max="86" width="4.7109375" customWidth="1"/>
    <col min="87" max="87" width="5.28515625" customWidth="1"/>
    <col min="88" max="88" width="5.140625" customWidth="1"/>
    <col min="89" max="89" width="6.28515625" customWidth="1"/>
    <col min="90" max="90" width="6.7109375" customWidth="1"/>
    <col min="104" max="104" width="9.7109375" customWidth="1"/>
  </cols>
  <sheetData>
    <row r="1" spans="1:103" s="2" customFormat="1" ht="15.75" x14ac:dyDescent="0.25">
      <c r="A1" s="4" t="s">
        <v>13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spans="1:103" s="2" customFormat="1" ht="15.75" x14ac:dyDescent="0.2">
      <c r="E2" s="41"/>
      <c r="H2" s="41"/>
      <c r="K2" s="41"/>
      <c r="N2" s="41"/>
      <c r="Q2" s="41"/>
      <c r="T2" s="41"/>
      <c r="W2" s="41"/>
      <c r="Z2" s="41"/>
      <c r="AC2" s="41"/>
      <c r="AF2" s="41"/>
      <c r="AI2" s="41"/>
      <c r="AL2" s="41"/>
      <c r="AO2" s="41"/>
      <c r="AR2" s="41"/>
      <c r="AU2" s="41"/>
      <c r="AX2" s="41"/>
      <c r="BA2" s="41"/>
      <c r="BD2" s="41"/>
      <c r="BG2" s="41"/>
      <c r="BJ2" s="41"/>
      <c r="BM2" s="41"/>
      <c r="BP2" s="41"/>
      <c r="BS2" s="41"/>
      <c r="BV2" s="41"/>
      <c r="BY2" s="41"/>
      <c r="CB2" s="41"/>
      <c r="CE2" s="41"/>
    </row>
    <row r="3" spans="1:103" s="2" customFormat="1" x14ac:dyDescent="0.25">
      <c r="A3" s="90"/>
      <c r="B3" s="90" t="s">
        <v>0</v>
      </c>
      <c r="C3" s="82" t="s">
        <v>14</v>
      </c>
      <c r="D3" s="83"/>
      <c r="E3" s="84"/>
      <c r="F3" s="82" t="s">
        <v>17</v>
      </c>
      <c r="G3" s="83"/>
      <c r="H3" s="84"/>
      <c r="I3" s="82" t="s">
        <v>20</v>
      </c>
      <c r="J3" s="83"/>
      <c r="K3" s="84"/>
      <c r="L3" s="82" t="s">
        <v>23</v>
      </c>
      <c r="M3" s="83"/>
      <c r="N3" s="84"/>
      <c r="O3" s="85" t="s">
        <v>24</v>
      </c>
      <c r="P3" s="85"/>
      <c r="Q3" s="85"/>
      <c r="R3" s="85" t="s">
        <v>27</v>
      </c>
      <c r="S3" s="85"/>
      <c r="T3" s="85"/>
      <c r="U3" s="85" t="s">
        <v>29</v>
      </c>
      <c r="V3" s="85"/>
      <c r="W3" s="85"/>
      <c r="X3" s="85" t="s">
        <v>31</v>
      </c>
      <c r="Y3" s="85"/>
      <c r="Z3" s="85"/>
      <c r="AA3" s="82" t="s">
        <v>58</v>
      </c>
      <c r="AB3" s="83"/>
      <c r="AC3" s="84"/>
      <c r="AD3" s="85" t="s">
        <v>59</v>
      </c>
      <c r="AE3" s="85"/>
      <c r="AF3" s="85"/>
      <c r="AG3" s="85" t="s">
        <v>37</v>
      </c>
      <c r="AH3" s="85"/>
      <c r="AI3" s="85"/>
      <c r="AJ3" s="82" t="s">
        <v>40</v>
      </c>
      <c r="AK3" s="83"/>
      <c r="AL3" s="84"/>
      <c r="AM3" s="82" t="s">
        <v>41</v>
      </c>
      <c r="AN3" s="83"/>
      <c r="AO3" s="84"/>
      <c r="AP3" s="82" t="s">
        <v>42</v>
      </c>
      <c r="AQ3" s="83"/>
      <c r="AR3" s="84"/>
      <c r="AS3" s="82" t="s">
        <v>43</v>
      </c>
      <c r="AT3" s="83"/>
      <c r="AU3" s="84"/>
      <c r="AV3" s="82" t="s">
        <v>44</v>
      </c>
      <c r="AW3" s="83"/>
      <c r="AX3" s="84"/>
      <c r="AY3" s="82" t="s">
        <v>45</v>
      </c>
      <c r="AZ3" s="83"/>
      <c r="BA3" s="84"/>
      <c r="BB3" s="82" t="s">
        <v>46</v>
      </c>
      <c r="BC3" s="83"/>
      <c r="BD3" s="84"/>
      <c r="BE3" s="82" t="s">
        <v>47</v>
      </c>
      <c r="BF3" s="83"/>
      <c r="BG3" s="84"/>
      <c r="BH3" s="85" t="s">
        <v>48</v>
      </c>
      <c r="BI3" s="85"/>
      <c r="BJ3" s="85"/>
      <c r="BK3" s="85" t="s">
        <v>49</v>
      </c>
      <c r="BL3" s="85"/>
      <c r="BM3" s="85"/>
      <c r="BN3" s="82" t="s">
        <v>50</v>
      </c>
      <c r="BO3" s="83"/>
      <c r="BP3" s="84"/>
      <c r="BQ3" s="82" t="s">
        <v>51</v>
      </c>
      <c r="BR3" s="83"/>
      <c r="BS3" s="84"/>
      <c r="BT3" s="82" t="s">
        <v>52</v>
      </c>
      <c r="BU3" s="83"/>
      <c r="BV3" s="84"/>
      <c r="BW3" s="82" t="s">
        <v>53</v>
      </c>
      <c r="BX3" s="83"/>
      <c r="BY3" s="84"/>
      <c r="BZ3" s="82" t="s">
        <v>54</v>
      </c>
      <c r="CA3" s="83"/>
      <c r="CB3" s="84"/>
      <c r="CC3" s="82" t="s">
        <v>55</v>
      </c>
      <c r="CD3" s="83"/>
      <c r="CE3" s="84"/>
      <c r="CF3" s="87" t="s">
        <v>8</v>
      </c>
      <c r="CG3" s="88"/>
      <c r="CH3" s="89"/>
    </row>
    <row r="4" spans="1:103" s="2" customFormat="1" ht="22.5" x14ac:dyDescent="0.2">
      <c r="A4" s="90"/>
      <c r="B4" s="91"/>
      <c r="C4" s="18" t="s">
        <v>1</v>
      </c>
      <c r="D4" s="18" t="s">
        <v>2</v>
      </c>
      <c r="E4" s="19" t="s">
        <v>5</v>
      </c>
      <c r="F4" s="18" t="s">
        <v>1</v>
      </c>
      <c r="G4" s="18" t="s">
        <v>2</v>
      </c>
      <c r="H4" s="19" t="s">
        <v>5</v>
      </c>
      <c r="I4" s="18" t="s">
        <v>1</v>
      </c>
      <c r="J4" s="18" t="s">
        <v>2</v>
      </c>
      <c r="K4" s="19" t="s">
        <v>5</v>
      </c>
      <c r="L4" s="18" t="s">
        <v>1</v>
      </c>
      <c r="M4" s="18" t="s">
        <v>2</v>
      </c>
      <c r="N4" s="19" t="s">
        <v>5</v>
      </c>
      <c r="O4" s="18" t="s">
        <v>1</v>
      </c>
      <c r="P4" s="18" t="s">
        <v>2</v>
      </c>
      <c r="Q4" s="19" t="s">
        <v>5</v>
      </c>
      <c r="R4" s="18" t="s">
        <v>1</v>
      </c>
      <c r="S4" s="18" t="s">
        <v>2</v>
      </c>
      <c r="T4" s="19" t="s">
        <v>5</v>
      </c>
      <c r="U4" s="18" t="s">
        <v>1</v>
      </c>
      <c r="V4" s="18" t="s">
        <v>2</v>
      </c>
      <c r="W4" s="19" t="s">
        <v>5</v>
      </c>
      <c r="X4" s="18" t="s">
        <v>1</v>
      </c>
      <c r="Y4" s="18" t="s">
        <v>2</v>
      </c>
      <c r="Z4" s="19" t="s">
        <v>5</v>
      </c>
      <c r="AA4" s="18" t="s">
        <v>1</v>
      </c>
      <c r="AB4" s="18" t="s">
        <v>2</v>
      </c>
      <c r="AC4" s="19" t="s">
        <v>5</v>
      </c>
      <c r="AD4" s="18" t="s">
        <v>1</v>
      </c>
      <c r="AE4" s="18" t="s">
        <v>2</v>
      </c>
      <c r="AF4" s="19" t="s">
        <v>5</v>
      </c>
      <c r="AG4" s="1" t="s">
        <v>1</v>
      </c>
      <c r="AH4" s="1" t="s">
        <v>2</v>
      </c>
      <c r="AI4" s="6" t="s">
        <v>5</v>
      </c>
      <c r="AJ4" s="1" t="s">
        <v>1</v>
      </c>
      <c r="AK4" s="1" t="s">
        <v>2</v>
      </c>
      <c r="AL4" s="6" t="s">
        <v>5</v>
      </c>
      <c r="AM4" s="1" t="s">
        <v>1</v>
      </c>
      <c r="AN4" s="1" t="s">
        <v>2</v>
      </c>
      <c r="AO4" s="6" t="s">
        <v>5</v>
      </c>
      <c r="AP4" s="1" t="s">
        <v>1</v>
      </c>
      <c r="AQ4" s="1" t="s">
        <v>2</v>
      </c>
      <c r="AR4" s="6" t="s">
        <v>5</v>
      </c>
      <c r="AS4" s="1" t="s">
        <v>1</v>
      </c>
      <c r="AT4" s="1" t="s">
        <v>2</v>
      </c>
      <c r="AU4" s="6" t="s">
        <v>5</v>
      </c>
      <c r="AV4" s="1" t="s">
        <v>1</v>
      </c>
      <c r="AW4" s="1" t="s">
        <v>2</v>
      </c>
      <c r="AX4" s="6" t="s">
        <v>5</v>
      </c>
      <c r="AY4" s="1" t="s">
        <v>1</v>
      </c>
      <c r="AZ4" s="1" t="s">
        <v>2</v>
      </c>
      <c r="BA4" s="6" t="s">
        <v>5</v>
      </c>
      <c r="BB4" s="1" t="s">
        <v>1</v>
      </c>
      <c r="BC4" s="1" t="s">
        <v>2</v>
      </c>
      <c r="BD4" s="6" t="s">
        <v>5</v>
      </c>
      <c r="BE4" s="1" t="s">
        <v>1</v>
      </c>
      <c r="BF4" s="1" t="s">
        <v>2</v>
      </c>
      <c r="BG4" s="6" t="s">
        <v>5</v>
      </c>
      <c r="BH4" s="1" t="s">
        <v>1</v>
      </c>
      <c r="BI4" s="1" t="s">
        <v>2</v>
      </c>
      <c r="BJ4" s="6" t="s">
        <v>5</v>
      </c>
      <c r="BK4" s="1" t="s">
        <v>1</v>
      </c>
      <c r="BL4" s="1" t="s">
        <v>2</v>
      </c>
      <c r="BM4" s="6" t="s">
        <v>5</v>
      </c>
      <c r="BN4" s="1" t="s">
        <v>1</v>
      </c>
      <c r="BO4" s="1" t="s">
        <v>2</v>
      </c>
      <c r="BP4" s="6" t="s">
        <v>5</v>
      </c>
      <c r="BQ4" s="1" t="s">
        <v>1</v>
      </c>
      <c r="BR4" s="1" t="s">
        <v>2</v>
      </c>
      <c r="BS4" s="6" t="s">
        <v>5</v>
      </c>
      <c r="BT4" s="1" t="s">
        <v>1</v>
      </c>
      <c r="BU4" s="1" t="s">
        <v>2</v>
      </c>
      <c r="BV4" s="6" t="s">
        <v>5</v>
      </c>
      <c r="BW4" s="1" t="s">
        <v>1</v>
      </c>
      <c r="BX4" s="1" t="s">
        <v>2</v>
      </c>
      <c r="BY4" s="6" t="s">
        <v>5</v>
      </c>
      <c r="BZ4" s="1" t="s">
        <v>1</v>
      </c>
      <c r="CA4" s="1" t="s">
        <v>2</v>
      </c>
      <c r="CB4" s="6" t="s">
        <v>5</v>
      </c>
      <c r="CC4" s="1" t="s">
        <v>1</v>
      </c>
      <c r="CD4" s="1" t="s">
        <v>2</v>
      </c>
      <c r="CE4" s="6" t="s">
        <v>5</v>
      </c>
      <c r="CF4" s="1" t="s">
        <v>1</v>
      </c>
      <c r="CG4" s="1" t="s">
        <v>2</v>
      </c>
      <c r="CH4" s="6" t="s">
        <v>5</v>
      </c>
    </row>
    <row r="5" spans="1:103" s="2" customFormat="1" ht="12" customHeight="1" outlineLevel="1" x14ac:dyDescent="0.2">
      <c r="A5" s="93" t="s">
        <v>81</v>
      </c>
      <c r="B5" s="92">
        <v>1</v>
      </c>
      <c r="C5" s="17">
        <v>0</v>
      </c>
      <c r="D5" s="17">
        <v>0</v>
      </c>
      <c r="E5" s="17">
        <v>0</v>
      </c>
      <c r="F5" s="17">
        <v>0</v>
      </c>
      <c r="G5" s="17">
        <v>0</v>
      </c>
      <c r="H5" s="17">
        <v>0</v>
      </c>
      <c r="I5" s="17">
        <v>0</v>
      </c>
      <c r="J5" s="17">
        <v>0</v>
      </c>
      <c r="K5" s="17">
        <v>0</v>
      </c>
      <c r="L5" s="17">
        <v>0</v>
      </c>
      <c r="M5" s="17">
        <v>0</v>
      </c>
      <c r="N5" s="17">
        <v>0</v>
      </c>
      <c r="O5" s="17">
        <v>0</v>
      </c>
      <c r="P5" s="17">
        <v>0</v>
      </c>
      <c r="Q5" s="17">
        <v>0</v>
      </c>
      <c r="R5" s="17">
        <v>0</v>
      </c>
      <c r="S5" s="17">
        <v>0</v>
      </c>
      <c r="T5" s="17">
        <v>0</v>
      </c>
      <c r="U5" s="17">
        <v>0</v>
      </c>
      <c r="V5" s="17">
        <v>0</v>
      </c>
      <c r="W5" s="17">
        <v>0</v>
      </c>
      <c r="X5" s="17">
        <v>0</v>
      </c>
      <c r="Y5" s="17">
        <v>0</v>
      </c>
      <c r="Z5" s="17">
        <v>0</v>
      </c>
      <c r="AA5" s="17">
        <v>0</v>
      </c>
      <c r="AB5" s="17">
        <v>0</v>
      </c>
      <c r="AC5" s="17">
        <v>0</v>
      </c>
      <c r="AD5" s="17">
        <v>0</v>
      </c>
      <c r="AE5" s="17">
        <v>0</v>
      </c>
      <c r="AF5" s="17">
        <v>0</v>
      </c>
      <c r="AG5" s="17">
        <v>0</v>
      </c>
      <c r="AH5" s="17">
        <v>0</v>
      </c>
      <c r="AI5" s="17">
        <v>0</v>
      </c>
      <c r="AJ5" s="17">
        <v>0</v>
      </c>
      <c r="AK5" s="17">
        <v>0</v>
      </c>
      <c r="AL5" s="17">
        <v>0</v>
      </c>
      <c r="AM5" s="17">
        <v>0</v>
      </c>
      <c r="AN5" s="17">
        <v>0</v>
      </c>
      <c r="AO5" s="17">
        <v>0</v>
      </c>
      <c r="AP5" s="17">
        <v>0</v>
      </c>
      <c r="AQ5" s="17">
        <v>0</v>
      </c>
      <c r="AR5" s="17">
        <v>0</v>
      </c>
      <c r="AS5" s="17">
        <v>0</v>
      </c>
      <c r="AT5" s="17">
        <v>0</v>
      </c>
      <c r="AU5" s="17">
        <v>0</v>
      </c>
      <c r="AV5" s="17">
        <v>0</v>
      </c>
      <c r="AW5" s="17">
        <v>0</v>
      </c>
      <c r="AX5" s="17">
        <v>0</v>
      </c>
      <c r="AY5" s="17">
        <v>0</v>
      </c>
      <c r="AZ5" s="17">
        <v>0</v>
      </c>
      <c r="BA5" s="17">
        <v>0</v>
      </c>
      <c r="BB5" s="17">
        <v>0</v>
      </c>
      <c r="BC5" s="17">
        <v>0</v>
      </c>
      <c r="BD5" s="17">
        <v>0</v>
      </c>
      <c r="BE5" s="17">
        <v>0</v>
      </c>
      <c r="BF5" s="17">
        <v>0</v>
      </c>
      <c r="BG5" s="17">
        <v>0</v>
      </c>
      <c r="BH5" s="17">
        <v>0</v>
      </c>
      <c r="BI5" s="17">
        <v>0</v>
      </c>
      <c r="BJ5" s="17">
        <v>0</v>
      </c>
      <c r="BK5" s="17">
        <v>0</v>
      </c>
      <c r="BL5" s="17">
        <v>0</v>
      </c>
      <c r="BM5" s="17">
        <v>0</v>
      </c>
      <c r="BN5" s="17">
        <v>0</v>
      </c>
      <c r="BO5" s="17">
        <v>0</v>
      </c>
      <c r="BP5" s="17">
        <v>0</v>
      </c>
      <c r="BQ5" s="17">
        <v>0</v>
      </c>
      <c r="BR5" s="17">
        <v>0</v>
      </c>
      <c r="BS5" s="17">
        <v>0</v>
      </c>
      <c r="BT5" s="17">
        <v>0</v>
      </c>
      <c r="BU5" s="17">
        <v>0</v>
      </c>
      <c r="BV5" s="17">
        <v>0</v>
      </c>
      <c r="BW5" s="17">
        <v>0</v>
      </c>
      <c r="BX5" s="17">
        <v>0</v>
      </c>
      <c r="BY5" s="17">
        <v>0</v>
      </c>
      <c r="BZ5" s="17">
        <v>0</v>
      </c>
      <c r="CA5" s="17">
        <v>0</v>
      </c>
      <c r="CB5" s="17">
        <v>0</v>
      </c>
      <c r="CC5" s="17">
        <v>0</v>
      </c>
      <c r="CD5" s="17">
        <v>0</v>
      </c>
      <c r="CE5" s="17">
        <v>0</v>
      </c>
      <c r="CF5" s="5">
        <f>AVERAGE(C5,F5,I5,L5,O5,R5,U5,X5,AA5,AD5,AG5,AJ5,AM5,AP5,AS5,AV5,AY5,BB5,BE5,BH5,BK5,BN5,BQ5,BT5,BW5,BZ5,CC5)</f>
        <v>0</v>
      </c>
      <c r="CG5" s="5">
        <f t="shared" ref="CG5:CH5" si="0">AVERAGE(D5,G5,J5,M5,P5,S5,V5,Y5,AB5,AE5,AH5,AK5,AN5,AQ5,AT5,AW5,AZ5,BC5,BF5,BI5,BL5,BO5,BR5,BU5,BX5,CA5,CD5)</f>
        <v>0</v>
      </c>
      <c r="CH5" s="5">
        <f t="shared" si="0"/>
        <v>0</v>
      </c>
    </row>
    <row r="6" spans="1:103" s="2" customFormat="1" ht="12" customHeight="1" outlineLevel="1" x14ac:dyDescent="0.2">
      <c r="A6" s="93"/>
      <c r="B6" s="92">
        <v>2</v>
      </c>
      <c r="C6" s="17">
        <v>0</v>
      </c>
      <c r="D6" s="17">
        <v>0</v>
      </c>
      <c r="E6" s="17">
        <v>0</v>
      </c>
      <c r="F6" s="17">
        <v>0</v>
      </c>
      <c r="G6" s="17">
        <v>0</v>
      </c>
      <c r="H6" s="17">
        <v>0</v>
      </c>
      <c r="I6" s="17">
        <v>0</v>
      </c>
      <c r="J6" s="17">
        <v>0</v>
      </c>
      <c r="K6" s="17">
        <v>0</v>
      </c>
      <c r="L6" s="17">
        <v>0</v>
      </c>
      <c r="M6" s="17">
        <v>0</v>
      </c>
      <c r="N6" s="17">
        <v>0</v>
      </c>
      <c r="O6" s="17">
        <v>0</v>
      </c>
      <c r="P6" s="17">
        <v>0</v>
      </c>
      <c r="Q6" s="17">
        <v>0</v>
      </c>
      <c r="R6" s="17">
        <v>0</v>
      </c>
      <c r="S6" s="17">
        <v>0</v>
      </c>
      <c r="T6" s="17">
        <v>0</v>
      </c>
      <c r="U6" s="17">
        <v>0</v>
      </c>
      <c r="V6" s="17">
        <v>0</v>
      </c>
      <c r="W6" s="17">
        <v>0</v>
      </c>
      <c r="X6" s="17">
        <v>0</v>
      </c>
      <c r="Y6" s="17">
        <v>0</v>
      </c>
      <c r="Z6" s="17">
        <v>0</v>
      </c>
      <c r="AA6" s="17">
        <v>0</v>
      </c>
      <c r="AB6" s="17">
        <v>0</v>
      </c>
      <c r="AC6" s="17">
        <v>0</v>
      </c>
      <c r="AD6" s="17">
        <v>0</v>
      </c>
      <c r="AE6" s="17">
        <v>0</v>
      </c>
      <c r="AF6" s="17">
        <v>0</v>
      </c>
      <c r="AG6" s="17">
        <v>0</v>
      </c>
      <c r="AH6" s="17">
        <v>0</v>
      </c>
      <c r="AI6" s="17">
        <v>0</v>
      </c>
      <c r="AJ6" s="17">
        <v>0</v>
      </c>
      <c r="AK6" s="17">
        <v>0</v>
      </c>
      <c r="AL6" s="17">
        <v>0</v>
      </c>
      <c r="AM6" s="17">
        <v>0</v>
      </c>
      <c r="AN6" s="17">
        <v>0</v>
      </c>
      <c r="AO6" s="17">
        <v>0</v>
      </c>
      <c r="AP6" s="17">
        <v>0</v>
      </c>
      <c r="AQ6" s="17">
        <v>0</v>
      </c>
      <c r="AR6" s="17">
        <v>0</v>
      </c>
      <c r="AS6" s="17">
        <v>0</v>
      </c>
      <c r="AT6" s="17">
        <v>0</v>
      </c>
      <c r="AU6" s="17">
        <v>0</v>
      </c>
      <c r="AV6" s="17">
        <v>0</v>
      </c>
      <c r="AW6" s="17">
        <v>0</v>
      </c>
      <c r="AX6" s="17">
        <v>0</v>
      </c>
      <c r="AY6" s="17">
        <v>0</v>
      </c>
      <c r="AZ6" s="17">
        <v>0</v>
      </c>
      <c r="BA6" s="17">
        <v>0</v>
      </c>
      <c r="BB6" s="17">
        <v>0</v>
      </c>
      <c r="BC6" s="17">
        <v>0</v>
      </c>
      <c r="BD6" s="17">
        <v>0</v>
      </c>
      <c r="BE6" s="17">
        <v>0</v>
      </c>
      <c r="BF6" s="17">
        <v>0</v>
      </c>
      <c r="BG6" s="17">
        <v>0</v>
      </c>
      <c r="BH6" s="17">
        <v>0</v>
      </c>
      <c r="BI6" s="17">
        <v>0</v>
      </c>
      <c r="BJ6" s="17">
        <v>0</v>
      </c>
      <c r="BK6" s="17">
        <v>0</v>
      </c>
      <c r="BL6" s="17">
        <v>0</v>
      </c>
      <c r="BM6" s="17">
        <v>0</v>
      </c>
      <c r="BN6" s="17">
        <v>0</v>
      </c>
      <c r="BO6" s="17">
        <v>0</v>
      </c>
      <c r="BP6" s="17">
        <v>0</v>
      </c>
      <c r="BQ6" s="17">
        <v>0</v>
      </c>
      <c r="BR6" s="17">
        <v>0</v>
      </c>
      <c r="BS6" s="17">
        <v>0</v>
      </c>
      <c r="BT6" s="17">
        <v>0</v>
      </c>
      <c r="BU6" s="17">
        <v>0</v>
      </c>
      <c r="BV6" s="17">
        <v>0</v>
      </c>
      <c r="BW6" s="17">
        <v>0</v>
      </c>
      <c r="BX6" s="17">
        <v>0</v>
      </c>
      <c r="BY6" s="17">
        <v>0</v>
      </c>
      <c r="BZ6" s="17">
        <v>0</v>
      </c>
      <c r="CA6" s="17">
        <v>0</v>
      </c>
      <c r="CB6" s="17">
        <v>0</v>
      </c>
      <c r="CC6" s="17">
        <v>0</v>
      </c>
      <c r="CD6" s="17">
        <v>0</v>
      </c>
      <c r="CE6" s="17">
        <v>0</v>
      </c>
      <c r="CF6" s="5">
        <f t="shared" ref="CF6:CF12" si="1">AVERAGE(C6,F6,I6,L6,O6,R6,U6,X6,AA6,AD6,AG6,AJ6,AM6,AP6,AS6,AV6,AY6,BB6,BE6,BH6,BK6,BN6,BQ6,BT6,BW6,BZ6,CC6)</f>
        <v>0</v>
      </c>
      <c r="CG6" s="5">
        <f t="shared" ref="CG6:CG12" si="2">AVERAGE(D6,G6,J6,M6,P6,S6,V6,Y6,AB6,AE6,AH6,AK6,AN6,AQ6,AT6,AW6,AZ6,BC6,BF6,BI6,BL6,BO6,BR6,BU6,BX6,CA6,CD6)</f>
        <v>0</v>
      </c>
      <c r="CH6" s="5">
        <f t="shared" ref="CH6:CH12" si="3">AVERAGE(E6,H6,K6,N6,Q6,T6,W6,Z6,AC6,AF6,AI6,AL6,AO6,AR6,AU6,AX6,BA6,BD6,BG6,BJ6,BM6,BP6,BS6,BV6,BY6,CB6,CE6)</f>
        <v>0</v>
      </c>
    </row>
    <row r="7" spans="1:103" s="2" customFormat="1" ht="12" customHeight="1" outlineLevel="1" x14ac:dyDescent="0.2">
      <c r="A7" s="93"/>
      <c r="B7" s="92">
        <v>3</v>
      </c>
      <c r="C7" s="17">
        <v>0</v>
      </c>
      <c r="D7" s="17">
        <v>0</v>
      </c>
      <c r="E7" s="17">
        <v>0</v>
      </c>
      <c r="F7" s="17">
        <v>0</v>
      </c>
      <c r="G7" s="17">
        <v>0</v>
      </c>
      <c r="H7" s="17">
        <v>0</v>
      </c>
      <c r="I7" s="17">
        <v>0</v>
      </c>
      <c r="J7" s="17">
        <v>0</v>
      </c>
      <c r="K7" s="17">
        <v>0</v>
      </c>
      <c r="L7" s="17">
        <v>0</v>
      </c>
      <c r="M7" s="17">
        <v>0</v>
      </c>
      <c r="N7" s="17">
        <v>0</v>
      </c>
      <c r="O7" s="17">
        <v>0</v>
      </c>
      <c r="P7" s="17">
        <v>0</v>
      </c>
      <c r="Q7" s="17">
        <v>0</v>
      </c>
      <c r="R7" s="17">
        <v>0</v>
      </c>
      <c r="S7" s="17">
        <v>0</v>
      </c>
      <c r="T7" s="17">
        <v>0</v>
      </c>
      <c r="U7" s="17">
        <v>0</v>
      </c>
      <c r="V7" s="17">
        <v>0</v>
      </c>
      <c r="W7" s="17">
        <v>0</v>
      </c>
      <c r="X7" s="17">
        <v>0</v>
      </c>
      <c r="Y7" s="17">
        <v>0</v>
      </c>
      <c r="Z7" s="17">
        <v>0</v>
      </c>
      <c r="AA7" s="17">
        <v>0</v>
      </c>
      <c r="AB7" s="17">
        <v>0</v>
      </c>
      <c r="AC7" s="17">
        <v>0</v>
      </c>
      <c r="AD7" s="17">
        <v>0</v>
      </c>
      <c r="AE7" s="17">
        <v>0</v>
      </c>
      <c r="AF7" s="17">
        <v>0</v>
      </c>
      <c r="AG7" s="17">
        <v>0</v>
      </c>
      <c r="AH7" s="17">
        <v>0</v>
      </c>
      <c r="AI7" s="17">
        <v>0</v>
      </c>
      <c r="AJ7" s="17">
        <v>0</v>
      </c>
      <c r="AK7" s="17">
        <v>0</v>
      </c>
      <c r="AL7" s="17">
        <v>0</v>
      </c>
      <c r="AM7" s="17">
        <v>0</v>
      </c>
      <c r="AN7" s="17">
        <v>0</v>
      </c>
      <c r="AO7" s="17">
        <v>0</v>
      </c>
      <c r="AP7" s="17">
        <v>0</v>
      </c>
      <c r="AQ7" s="17">
        <v>0</v>
      </c>
      <c r="AR7" s="17">
        <v>0</v>
      </c>
      <c r="AS7" s="17">
        <v>0</v>
      </c>
      <c r="AT7" s="17">
        <v>0</v>
      </c>
      <c r="AU7" s="17">
        <v>0</v>
      </c>
      <c r="AV7" s="17">
        <v>0</v>
      </c>
      <c r="AW7" s="17">
        <v>0</v>
      </c>
      <c r="AX7" s="17">
        <v>0</v>
      </c>
      <c r="AY7" s="17">
        <v>0</v>
      </c>
      <c r="AZ7" s="17">
        <v>0</v>
      </c>
      <c r="BA7" s="17">
        <v>0</v>
      </c>
      <c r="BB7" s="17">
        <v>0</v>
      </c>
      <c r="BC7" s="17">
        <v>0</v>
      </c>
      <c r="BD7" s="17">
        <v>0</v>
      </c>
      <c r="BE7" s="17">
        <v>0</v>
      </c>
      <c r="BF7" s="17">
        <v>0</v>
      </c>
      <c r="BG7" s="17">
        <v>0</v>
      </c>
      <c r="BH7" s="17">
        <v>0</v>
      </c>
      <c r="BI7" s="17">
        <v>0</v>
      </c>
      <c r="BJ7" s="17">
        <v>0</v>
      </c>
      <c r="BK7" s="17">
        <v>0</v>
      </c>
      <c r="BL7" s="17">
        <v>0</v>
      </c>
      <c r="BM7" s="17">
        <v>0</v>
      </c>
      <c r="BN7" s="17">
        <v>0</v>
      </c>
      <c r="BO7" s="17">
        <v>0</v>
      </c>
      <c r="BP7" s="17">
        <v>0</v>
      </c>
      <c r="BQ7" s="17">
        <v>0</v>
      </c>
      <c r="BR7" s="17">
        <v>0</v>
      </c>
      <c r="BS7" s="17">
        <v>0</v>
      </c>
      <c r="BT7" s="17">
        <v>0</v>
      </c>
      <c r="BU7" s="17">
        <v>0</v>
      </c>
      <c r="BV7" s="17">
        <v>0</v>
      </c>
      <c r="BW7" s="17">
        <v>0</v>
      </c>
      <c r="BX7" s="17">
        <v>0</v>
      </c>
      <c r="BY7" s="17">
        <v>0</v>
      </c>
      <c r="BZ7" s="17">
        <v>0</v>
      </c>
      <c r="CA7" s="17">
        <v>0</v>
      </c>
      <c r="CB7" s="17">
        <v>0</v>
      </c>
      <c r="CC7" s="17">
        <v>0</v>
      </c>
      <c r="CD7" s="17">
        <v>0</v>
      </c>
      <c r="CE7" s="17">
        <v>0</v>
      </c>
      <c r="CF7" s="5">
        <f t="shared" ref="CF7:CF10" si="4">AVERAGE(C7,F7,I7,L7,O7,R7,U7,X7,AA7,AD7,AG7,AJ7,AM7,AP7,AS7,AV7,AY7,BB7,BE7,BH7,BK7,BN7,BQ7,BT7,BW7,BZ7,CC7)</f>
        <v>0</v>
      </c>
      <c r="CG7" s="5">
        <f t="shared" ref="CG7:CG10" si="5">AVERAGE(D7,G7,J7,M7,P7,S7,V7,Y7,AB7,AE7,AH7,AK7,AN7,AQ7,AT7,AW7,AZ7,BC7,BF7,BI7,BL7,BO7,BR7,BU7,BX7,CA7,CD7)</f>
        <v>0</v>
      </c>
      <c r="CH7" s="5">
        <f t="shared" ref="CH7:CH10" si="6">AVERAGE(E7,H7,K7,N7,Q7,T7,W7,Z7,AC7,AF7,AI7,AL7,AO7,AR7,AU7,AX7,BA7,BD7,BG7,BJ7,BM7,BP7,BS7,BV7,BY7,CB7,CE7)</f>
        <v>0</v>
      </c>
    </row>
    <row r="8" spans="1:103" s="2" customFormat="1" ht="12" customHeight="1" outlineLevel="1" x14ac:dyDescent="0.2">
      <c r="A8" s="93"/>
      <c r="B8" s="92">
        <v>4</v>
      </c>
      <c r="C8" s="17">
        <v>0</v>
      </c>
      <c r="D8" s="17">
        <v>0</v>
      </c>
      <c r="E8" s="17">
        <v>0</v>
      </c>
      <c r="F8" s="17">
        <v>0</v>
      </c>
      <c r="G8" s="17">
        <v>0</v>
      </c>
      <c r="H8" s="17">
        <v>0</v>
      </c>
      <c r="I8" s="17">
        <v>0</v>
      </c>
      <c r="J8" s="17">
        <v>0</v>
      </c>
      <c r="K8" s="17">
        <v>0</v>
      </c>
      <c r="L8" s="17">
        <v>0</v>
      </c>
      <c r="M8" s="17">
        <v>0</v>
      </c>
      <c r="N8" s="17">
        <v>0</v>
      </c>
      <c r="O8" s="17">
        <v>0</v>
      </c>
      <c r="P8" s="17">
        <v>0</v>
      </c>
      <c r="Q8" s="17">
        <v>0</v>
      </c>
      <c r="R8" s="17">
        <v>0</v>
      </c>
      <c r="S8" s="17">
        <v>0</v>
      </c>
      <c r="T8" s="17">
        <v>0</v>
      </c>
      <c r="U8" s="17">
        <v>0</v>
      </c>
      <c r="V8" s="17">
        <v>0</v>
      </c>
      <c r="W8" s="17">
        <v>0</v>
      </c>
      <c r="X8" s="17">
        <v>0</v>
      </c>
      <c r="Y8" s="17">
        <v>0</v>
      </c>
      <c r="Z8" s="17">
        <v>0</v>
      </c>
      <c r="AA8" s="17">
        <v>0</v>
      </c>
      <c r="AB8" s="17">
        <v>0</v>
      </c>
      <c r="AC8" s="17">
        <v>0</v>
      </c>
      <c r="AD8" s="17">
        <v>0</v>
      </c>
      <c r="AE8" s="17">
        <v>0</v>
      </c>
      <c r="AF8" s="17">
        <v>0</v>
      </c>
      <c r="AG8" s="17">
        <v>0</v>
      </c>
      <c r="AH8" s="17">
        <v>0</v>
      </c>
      <c r="AI8" s="17">
        <v>0</v>
      </c>
      <c r="AJ8" s="17">
        <v>0</v>
      </c>
      <c r="AK8" s="17">
        <v>0</v>
      </c>
      <c r="AL8" s="17">
        <v>0</v>
      </c>
      <c r="AM8" s="17">
        <v>0</v>
      </c>
      <c r="AN8" s="17">
        <v>0</v>
      </c>
      <c r="AO8" s="17">
        <v>0</v>
      </c>
      <c r="AP8" s="17">
        <v>0</v>
      </c>
      <c r="AQ8" s="17">
        <v>0</v>
      </c>
      <c r="AR8" s="17">
        <v>0</v>
      </c>
      <c r="AS8" s="17">
        <v>0</v>
      </c>
      <c r="AT8" s="17">
        <v>0</v>
      </c>
      <c r="AU8" s="17">
        <v>0</v>
      </c>
      <c r="AV8" s="17">
        <v>0</v>
      </c>
      <c r="AW8" s="17">
        <v>0</v>
      </c>
      <c r="AX8" s="17">
        <v>0</v>
      </c>
      <c r="AY8" s="17">
        <v>0</v>
      </c>
      <c r="AZ8" s="17">
        <v>0</v>
      </c>
      <c r="BA8" s="17">
        <v>0</v>
      </c>
      <c r="BB8" s="17">
        <v>0</v>
      </c>
      <c r="BC8" s="17">
        <v>0</v>
      </c>
      <c r="BD8" s="17">
        <v>0</v>
      </c>
      <c r="BE8" s="17">
        <v>0</v>
      </c>
      <c r="BF8" s="17">
        <v>0</v>
      </c>
      <c r="BG8" s="17">
        <v>0</v>
      </c>
      <c r="BH8" s="17">
        <v>0</v>
      </c>
      <c r="BI8" s="17">
        <v>0</v>
      </c>
      <c r="BJ8" s="17">
        <v>0</v>
      </c>
      <c r="BK8" s="17">
        <v>0</v>
      </c>
      <c r="BL8" s="17">
        <v>0</v>
      </c>
      <c r="BM8" s="17">
        <v>0</v>
      </c>
      <c r="BN8" s="17">
        <v>0</v>
      </c>
      <c r="BO8" s="17">
        <v>0</v>
      </c>
      <c r="BP8" s="17">
        <v>0</v>
      </c>
      <c r="BQ8" s="17">
        <v>0</v>
      </c>
      <c r="BR8" s="17">
        <v>0</v>
      </c>
      <c r="BS8" s="17">
        <v>0</v>
      </c>
      <c r="BT8" s="17">
        <v>0</v>
      </c>
      <c r="BU8" s="17">
        <v>0</v>
      </c>
      <c r="BV8" s="17">
        <v>0</v>
      </c>
      <c r="BW8" s="17">
        <v>0</v>
      </c>
      <c r="BX8" s="17">
        <v>0</v>
      </c>
      <c r="BY8" s="17">
        <v>0</v>
      </c>
      <c r="BZ8" s="17">
        <v>0</v>
      </c>
      <c r="CA8" s="17">
        <v>0</v>
      </c>
      <c r="CB8" s="17">
        <v>0</v>
      </c>
      <c r="CC8" s="17">
        <v>0</v>
      </c>
      <c r="CD8" s="17">
        <v>0</v>
      </c>
      <c r="CE8" s="17">
        <v>0</v>
      </c>
      <c r="CF8" s="5">
        <f t="shared" si="4"/>
        <v>0</v>
      </c>
      <c r="CG8" s="5">
        <f t="shared" si="5"/>
        <v>0</v>
      </c>
      <c r="CH8" s="5">
        <f t="shared" si="6"/>
        <v>0</v>
      </c>
    </row>
    <row r="9" spans="1:103" s="2" customFormat="1" ht="12" customHeight="1" outlineLevel="1" x14ac:dyDescent="0.2">
      <c r="A9" s="93"/>
      <c r="B9" s="92">
        <v>5</v>
      </c>
      <c r="C9" s="17">
        <v>0</v>
      </c>
      <c r="D9" s="17">
        <v>0</v>
      </c>
      <c r="E9" s="17">
        <v>0</v>
      </c>
      <c r="F9" s="17">
        <v>0</v>
      </c>
      <c r="G9" s="17">
        <v>0</v>
      </c>
      <c r="H9" s="17">
        <v>0</v>
      </c>
      <c r="I9" s="17">
        <v>0</v>
      </c>
      <c r="J9" s="17">
        <v>0</v>
      </c>
      <c r="K9" s="17">
        <v>0</v>
      </c>
      <c r="L9" s="17">
        <v>0</v>
      </c>
      <c r="M9" s="17">
        <v>0</v>
      </c>
      <c r="N9" s="17">
        <v>0</v>
      </c>
      <c r="O9" s="17">
        <v>0</v>
      </c>
      <c r="P9" s="17">
        <v>0</v>
      </c>
      <c r="Q9" s="17">
        <v>0</v>
      </c>
      <c r="R9" s="17">
        <v>0</v>
      </c>
      <c r="S9" s="17">
        <v>0</v>
      </c>
      <c r="T9" s="17">
        <v>0</v>
      </c>
      <c r="U9" s="17">
        <v>0</v>
      </c>
      <c r="V9" s="17">
        <v>0</v>
      </c>
      <c r="W9" s="17">
        <v>0</v>
      </c>
      <c r="X9" s="17">
        <v>0</v>
      </c>
      <c r="Y9" s="17">
        <v>0</v>
      </c>
      <c r="Z9" s="17">
        <v>0</v>
      </c>
      <c r="AA9" s="17">
        <v>0</v>
      </c>
      <c r="AB9" s="17">
        <v>0</v>
      </c>
      <c r="AC9" s="17">
        <v>0</v>
      </c>
      <c r="AD9" s="17">
        <v>0</v>
      </c>
      <c r="AE9" s="17">
        <v>0</v>
      </c>
      <c r="AF9" s="17">
        <v>0</v>
      </c>
      <c r="AG9" s="17">
        <v>0</v>
      </c>
      <c r="AH9" s="17">
        <v>0</v>
      </c>
      <c r="AI9" s="17">
        <v>0</v>
      </c>
      <c r="AJ9" s="17">
        <v>0</v>
      </c>
      <c r="AK9" s="17">
        <v>0</v>
      </c>
      <c r="AL9" s="17">
        <v>0</v>
      </c>
      <c r="AM9" s="17">
        <v>0</v>
      </c>
      <c r="AN9" s="17">
        <v>0</v>
      </c>
      <c r="AO9" s="17">
        <v>0</v>
      </c>
      <c r="AP9" s="17">
        <v>0</v>
      </c>
      <c r="AQ9" s="17">
        <v>0</v>
      </c>
      <c r="AR9" s="17">
        <v>0</v>
      </c>
      <c r="AS9" s="17">
        <v>0</v>
      </c>
      <c r="AT9" s="17">
        <v>0</v>
      </c>
      <c r="AU9" s="17">
        <v>0</v>
      </c>
      <c r="AV9" s="17">
        <v>0</v>
      </c>
      <c r="AW9" s="17">
        <v>0</v>
      </c>
      <c r="AX9" s="17">
        <v>0</v>
      </c>
      <c r="AY9" s="17">
        <v>0</v>
      </c>
      <c r="AZ9" s="17">
        <v>0</v>
      </c>
      <c r="BA9" s="17">
        <v>0</v>
      </c>
      <c r="BB9" s="17">
        <v>0</v>
      </c>
      <c r="BC9" s="17">
        <v>0</v>
      </c>
      <c r="BD9" s="17">
        <v>0</v>
      </c>
      <c r="BE9" s="17">
        <v>0</v>
      </c>
      <c r="BF9" s="17">
        <v>0</v>
      </c>
      <c r="BG9" s="17">
        <v>0</v>
      </c>
      <c r="BH9" s="17">
        <v>0</v>
      </c>
      <c r="BI9" s="17">
        <v>0</v>
      </c>
      <c r="BJ9" s="17">
        <v>0</v>
      </c>
      <c r="BK9" s="17">
        <v>0</v>
      </c>
      <c r="BL9" s="17">
        <v>0</v>
      </c>
      <c r="BM9" s="17">
        <v>0</v>
      </c>
      <c r="BN9" s="17">
        <v>0</v>
      </c>
      <c r="BO9" s="17">
        <v>0</v>
      </c>
      <c r="BP9" s="17">
        <v>0</v>
      </c>
      <c r="BQ9" s="17">
        <v>0</v>
      </c>
      <c r="BR9" s="17">
        <v>0</v>
      </c>
      <c r="BS9" s="17">
        <v>0</v>
      </c>
      <c r="BT9" s="17">
        <v>0</v>
      </c>
      <c r="BU9" s="17">
        <v>0</v>
      </c>
      <c r="BV9" s="17">
        <v>0</v>
      </c>
      <c r="BW9" s="17">
        <v>0</v>
      </c>
      <c r="BX9" s="17">
        <v>0</v>
      </c>
      <c r="BY9" s="17">
        <v>0</v>
      </c>
      <c r="BZ9" s="17">
        <v>0</v>
      </c>
      <c r="CA9" s="17">
        <v>0</v>
      </c>
      <c r="CB9" s="17">
        <v>0</v>
      </c>
      <c r="CC9" s="17">
        <v>0</v>
      </c>
      <c r="CD9" s="17">
        <v>0</v>
      </c>
      <c r="CE9" s="17">
        <v>0</v>
      </c>
      <c r="CF9" s="5">
        <f t="shared" si="4"/>
        <v>0</v>
      </c>
      <c r="CG9" s="5">
        <f t="shared" si="5"/>
        <v>0</v>
      </c>
      <c r="CH9" s="5">
        <f t="shared" si="6"/>
        <v>0</v>
      </c>
    </row>
    <row r="10" spans="1:103" s="2" customFormat="1" ht="12" customHeight="1" outlineLevel="1" x14ac:dyDescent="0.2">
      <c r="A10" s="93"/>
      <c r="B10" s="92">
        <v>6</v>
      </c>
      <c r="C10" s="17">
        <v>0</v>
      </c>
      <c r="D10" s="17">
        <v>0</v>
      </c>
      <c r="E10" s="17">
        <v>0</v>
      </c>
      <c r="F10" s="17">
        <v>0</v>
      </c>
      <c r="G10" s="17">
        <v>0</v>
      </c>
      <c r="H10" s="17">
        <v>0</v>
      </c>
      <c r="I10" s="17">
        <v>0</v>
      </c>
      <c r="J10" s="17">
        <v>0</v>
      </c>
      <c r="K10" s="17">
        <v>0</v>
      </c>
      <c r="L10" s="17">
        <v>0</v>
      </c>
      <c r="M10" s="17">
        <v>0</v>
      </c>
      <c r="N10" s="17">
        <v>0</v>
      </c>
      <c r="O10" s="17">
        <v>0</v>
      </c>
      <c r="P10" s="17">
        <v>0</v>
      </c>
      <c r="Q10" s="17">
        <v>0</v>
      </c>
      <c r="R10" s="17">
        <v>0</v>
      </c>
      <c r="S10" s="17">
        <v>0</v>
      </c>
      <c r="T10" s="17">
        <v>0</v>
      </c>
      <c r="U10" s="17">
        <v>0</v>
      </c>
      <c r="V10" s="17">
        <v>0</v>
      </c>
      <c r="W10" s="17">
        <v>0</v>
      </c>
      <c r="X10" s="17">
        <v>0</v>
      </c>
      <c r="Y10" s="17">
        <v>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0</v>
      </c>
      <c r="BQ10" s="17">
        <v>0</v>
      </c>
      <c r="BR10" s="17">
        <v>0</v>
      </c>
      <c r="BS10" s="17">
        <v>0</v>
      </c>
      <c r="BT10" s="17">
        <v>0</v>
      </c>
      <c r="BU10" s="17">
        <v>0</v>
      </c>
      <c r="BV10" s="17">
        <v>0</v>
      </c>
      <c r="BW10" s="17">
        <v>0</v>
      </c>
      <c r="BX10" s="17">
        <v>0</v>
      </c>
      <c r="BY10" s="17">
        <v>0</v>
      </c>
      <c r="BZ10" s="17">
        <v>0</v>
      </c>
      <c r="CA10" s="17">
        <v>0</v>
      </c>
      <c r="CB10" s="17">
        <v>0</v>
      </c>
      <c r="CC10" s="17">
        <v>0</v>
      </c>
      <c r="CD10" s="17">
        <v>0</v>
      </c>
      <c r="CE10" s="17">
        <v>0</v>
      </c>
      <c r="CF10" s="5">
        <f t="shared" si="4"/>
        <v>0</v>
      </c>
      <c r="CG10" s="5">
        <f t="shared" si="5"/>
        <v>0</v>
      </c>
      <c r="CH10" s="5">
        <f t="shared" si="6"/>
        <v>0</v>
      </c>
    </row>
    <row r="11" spans="1:103" s="2" customFormat="1" ht="12" customHeight="1" outlineLevel="1" x14ac:dyDescent="0.2">
      <c r="A11" s="93"/>
      <c r="B11" s="92">
        <v>7</v>
      </c>
      <c r="C11" s="17">
        <v>0</v>
      </c>
      <c r="D11" s="17">
        <v>0</v>
      </c>
      <c r="E11" s="17">
        <v>0</v>
      </c>
      <c r="F11" s="17">
        <v>0</v>
      </c>
      <c r="G11" s="17">
        <v>0</v>
      </c>
      <c r="H11" s="17">
        <v>0</v>
      </c>
      <c r="I11" s="17">
        <v>0</v>
      </c>
      <c r="J11" s="17">
        <v>0</v>
      </c>
      <c r="K11" s="17">
        <v>0</v>
      </c>
      <c r="L11" s="17">
        <v>0</v>
      </c>
      <c r="M11" s="17">
        <v>0</v>
      </c>
      <c r="N11" s="17">
        <v>0</v>
      </c>
      <c r="O11" s="17">
        <v>0</v>
      </c>
      <c r="P11" s="17">
        <v>0</v>
      </c>
      <c r="Q11" s="17">
        <v>0</v>
      </c>
      <c r="R11" s="17">
        <v>0</v>
      </c>
      <c r="S11" s="17">
        <v>0</v>
      </c>
      <c r="T11" s="17">
        <v>0</v>
      </c>
      <c r="U11" s="17">
        <v>0</v>
      </c>
      <c r="V11" s="17">
        <v>0</v>
      </c>
      <c r="W11" s="17">
        <v>0</v>
      </c>
      <c r="X11" s="17">
        <v>0</v>
      </c>
      <c r="Y11" s="17">
        <v>0</v>
      </c>
      <c r="Z11" s="17">
        <v>0</v>
      </c>
      <c r="AA11" s="17">
        <v>0</v>
      </c>
      <c r="AB11" s="17">
        <v>0</v>
      </c>
      <c r="AC11" s="17">
        <v>0</v>
      </c>
      <c r="AD11" s="17">
        <v>0</v>
      </c>
      <c r="AE11" s="17">
        <v>0</v>
      </c>
      <c r="AF11" s="17">
        <v>0</v>
      </c>
      <c r="AG11" s="17">
        <v>0</v>
      </c>
      <c r="AH11" s="17">
        <v>0</v>
      </c>
      <c r="AI11" s="17">
        <v>0</v>
      </c>
      <c r="AJ11" s="17">
        <v>0</v>
      </c>
      <c r="AK11" s="17">
        <v>0</v>
      </c>
      <c r="AL11" s="17">
        <v>0</v>
      </c>
      <c r="AM11" s="17">
        <v>0</v>
      </c>
      <c r="AN11" s="17">
        <v>0</v>
      </c>
      <c r="AO11" s="17">
        <v>0</v>
      </c>
      <c r="AP11" s="17">
        <v>0</v>
      </c>
      <c r="AQ11" s="17">
        <v>0</v>
      </c>
      <c r="AR11" s="17">
        <v>0</v>
      </c>
      <c r="AS11" s="17">
        <v>0</v>
      </c>
      <c r="AT11" s="17">
        <v>0</v>
      </c>
      <c r="AU11" s="17">
        <v>0</v>
      </c>
      <c r="AV11" s="17">
        <v>0</v>
      </c>
      <c r="AW11" s="17">
        <v>0</v>
      </c>
      <c r="AX11" s="17">
        <v>0</v>
      </c>
      <c r="AY11" s="17">
        <v>0</v>
      </c>
      <c r="AZ11" s="17">
        <v>0</v>
      </c>
      <c r="BA11" s="17">
        <v>0</v>
      </c>
      <c r="BB11" s="17">
        <v>0</v>
      </c>
      <c r="BC11" s="17">
        <v>0</v>
      </c>
      <c r="BD11" s="17">
        <v>0</v>
      </c>
      <c r="BE11" s="17">
        <v>0</v>
      </c>
      <c r="BF11" s="17">
        <v>0</v>
      </c>
      <c r="BG11" s="17">
        <v>0</v>
      </c>
      <c r="BH11" s="17">
        <v>0</v>
      </c>
      <c r="BI11" s="17">
        <v>0</v>
      </c>
      <c r="BJ11" s="17">
        <v>0</v>
      </c>
      <c r="BK11" s="17">
        <v>0</v>
      </c>
      <c r="BL11" s="17">
        <v>0</v>
      </c>
      <c r="BM11" s="17">
        <v>0</v>
      </c>
      <c r="BN11" s="17">
        <v>0</v>
      </c>
      <c r="BO11" s="17">
        <v>0</v>
      </c>
      <c r="BP11" s="17">
        <v>0</v>
      </c>
      <c r="BQ11" s="17">
        <v>0</v>
      </c>
      <c r="BR11" s="17">
        <v>0</v>
      </c>
      <c r="BS11" s="17">
        <v>0</v>
      </c>
      <c r="BT11" s="17">
        <v>0</v>
      </c>
      <c r="BU11" s="17">
        <v>0</v>
      </c>
      <c r="BV11" s="17">
        <v>0</v>
      </c>
      <c r="BW11" s="17">
        <v>0</v>
      </c>
      <c r="BX11" s="17">
        <v>0</v>
      </c>
      <c r="BY11" s="17">
        <v>0</v>
      </c>
      <c r="BZ11" s="17">
        <v>0</v>
      </c>
      <c r="CA11" s="17">
        <v>0</v>
      </c>
      <c r="CB11" s="17">
        <v>0</v>
      </c>
      <c r="CC11" s="17">
        <v>0</v>
      </c>
      <c r="CD11" s="17">
        <v>0</v>
      </c>
      <c r="CE11" s="17">
        <v>0</v>
      </c>
      <c r="CF11" s="5">
        <f t="shared" si="1"/>
        <v>0</v>
      </c>
      <c r="CG11" s="5">
        <f t="shared" si="2"/>
        <v>0</v>
      </c>
      <c r="CH11" s="5">
        <f t="shared" si="3"/>
        <v>0</v>
      </c>
    </row>
    <row r="12" spans="1:103" s="2" customFormat="1" ht="12" customHeight="1" outlineLevel="1" x14ac:dyDescent="0.2">
      <c r="A12" s="93"/>
      <c r="B12" s="92">
        <v>8</v>
      </c>
      <c r="C12" s="17">
        <v>0</v>
      </c>
      <c r="D12" s="17">
        <v>0</v>
      </c>
      <c r="E12" s="17">
        <v>0</v>
      </c>
      <c r="F12" s="17">
        <v>0</v>
      </c>
      <c r="G12" s="17">
        <v>0</v>
      </c>
      <c r="H12" s="17">
        <v>0</v>
      </c>
      <c r="I12" s="17">
        <v>0</v>
      </c>
      <c r="J12" s="17">
        <v>0</v>
      </c>
      <c r="K12" s="17">
        <v>0</v>
      </c>
      <c r="L12" s="17">
        <v>0</v>
      </c>
      <c r="M12" s="17">
        <v>0</v>
      </c>
      <c r="N12" s="17">
        <v>0</v>
      </c>
      <c r="O12" s="17">
        <v>0</v>
      </c>
      <c r="P12" s="17">
        <v>0</v>
      </c>
      <c r="Q12" s="17">
        <v>0</v>
      </c>
      <c r="R12" s="17">
        <v>0</v>
      </c>
      <c r="S12" s="17">
        <v>0</v>
      </c>
      <c r="T12" s="17">
        <v>0</v>
      </c>
      <c r="U12" s="17">
        <v>0</v>
      </c>
      <c r="V12" s="17">
        <v>0</v>
      </c>
      <c r="W12" s="17">
        <v>0</v>
      </c>
      <c r="X12" s="17">
        <v>0</v>
      </c>
      <c r="Y12" s="17">
        <v>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0</v>
      </c>
      <c r="BQ12" s="17">
        <v>0</v>
      </c>
      <c r="BR12" s="17">
        <v>0</v>
      </c>
      <c r="BS12" s="17">
        <v>0</v>
      </c>
      <c r="BT12" s="17">
        <v>0</v>
      </c>
      <c r="BU12" s="17">
        <v>0</v>
      </c>
      <c r="BV12" s="17">
        <v>0</v>
      </c>
      <c r="BW12" s="17">
        <v>0</v>
      </c>
      <c r="BX12" s="17">
        <v>0</v>
      </c>
      <c r="BY12" s="17">
        <v>0</v>
      </c>
      <c r="BZ12" s="17">
        <v>0</v>
      </c>
      <c r="CA12" s="17">
        <v>0</v>
      </c>
      <c r="CB12" s="17">
        <v>0</v>
      </c>
      <c r="CC12" s="17">
        <v>0</v>
      </c>
      <c r="CD12" s="17">
        <v>0</v>
      </c>
      <c r="CE12" s="17">
        <v>0</v>
      </c>
      <c r="CF12" s="5">
        <f t="shared" si="1"/>
        <v>0</v>
      </c>
      <c r="CG12" s="5">
        <f t="shared" si="2"/>
        <v>0</v>
      </c>
      <c r="CH12" s="5">
        <f t="shared" si="3"/>
        <v>0</v>
      </c>
    </row>
    <row r="13" spans="1:103" s="2" customFormat="1" ht="11.45" customHeight="1" outlineLevel="1" thickBot="1" x14ac:dyDescent="0.35">
      <c r="A13" s="93"/>
      <c r="B13" s="92">
        <v>9</v>
      </c>
      <c r="C13" s="17">
        <v>0</v>
      </c>
      <c r="D13" s="17">
        <v>0</v>
      </c>
      <c r="E13" s="17">
        <v>0</v>
      </c>
      <c r="F13" s="17">
        <v>0</v>
      </c>
      <c r="G13" s="17">
        <v>0</v>
      </c>
      <c r="H13" s="17">
        <v>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0</v>
      </c>
      <c r="AF13" s="17">
        <v>0</v>
      </c>
      <c r="AG13" s="17">
        <v>0</v>
      </c>
      <c r="AH13" s="17">
        <v>0</v>
      </c>
      <c r="AI13" s="17">
        <v>0</v>
      </c>
      <c r="AJ13" s="17">
        <v>0</v>
      </c>
      <c r="AK13" s="17">
        <v>0</v>
      </c>
      <c r="AL13" s="17">
        <v>0</v>
      </c>
      <c r="AM13" s="17">
        <v>0</v>
      </c>
      <c r="AN13" s="17">
        <v>0</v>
      </c>
      <c r="AO13" s="17">
        <v>0</v>
      </c>
      <c r="AP13" s="17">
        <v>0</v>
      </c>
      <c r="AQ13" s="17">
        <v>0</v>
      </c>
      <c r="AR13" s="17">
        <v>0</v>
      </c>
      <c r="AS13" s="17">
        <v>0</v>
      </c>
      <c r="AT13" s="17">
        <v>0</v>
      </c>
      <c r="AU13" s="17">
        <v>0</v>
      </c>
      <c r="AV13" s="17">
        <v>0</v>
      </c>
      <c r="AW13" s="17">
        <v>0</v>
      </c>
      <c r="AX13" s="17">
        <v>0</v>
      </c>
      <c r="AY13" s="17">
        <v>0</v>
      </c>
      <c r="AZ13" s="17">
        <v>0</v>
      </c>
      <c r="BA13" s="17">
        <v>0</v>
      </c>
      <c r="BB13" s="17">
        <v>0</v>
      </c>
      <c r="BC13" s="17">
        <v>0</v>
      </c>
      <c r="BD13" s="17">
        <v>0</v>
      </c>
      <c r="BE13" s="17">
        <v>0</v>
      </c>
      <c r="BF13" s="17">
        <v>0</v>
      </c>
      <c r="BG13" s="17">
        <v>0</v>
      </c>
      <c r="BH13" s="17">
        <v>0</v>
      </c>
      <c r="BI13" s="17">
        <v>0</v>
      </c>
      <c r="BJ13" s="17">
        <v>0</v>
      </c>
      <c r="BK13" s="17">
        <v>0</v>
      </c>
      <c r="BL13" s="17">
        <v>0</v>
      </c>
      <c r="BM13" s="17">
        <v>0</v>
      </c>
      <c r="BN13" s="17">
        <v>0</v>
      </c>
      <c r="BO13" s="17">
        <v>0</v>
      </c>
      <c r="BP13" s="17">
        <v>0</v>
      </c>
      <c r="BQ13" s="17">
        <v>0</v>
      </c>
      <c r="BR13" s="17">
        <v>0</v>
      </c>
      <c r="BS13" s="17">
        <v>0</v>
      </c>
      <c r="BT13" s="17">
        <v>0</v>
      </c>
      <c r="BU13" s="17">
        <v>0</v>
      </c>
      <c r="BV13" s="17">
        <v>0</v>
      </c>
      <c r="BW13" s="17">
        <v>0</v>
      </c>
      <c r="BX13" s="17">
        <v>0</v>
      </c>
      <c r="BY13" s="17">
        <v>0</v>
      </c>
      <c r="BZ13" s="17">
        <v>0</v>
      </c>
      <c r="CA13" s="17">
        <v>0</v>
      </c>
      <c r="CB13" s="17">
        <v>0</v>
      </c>
      <c r="CC13" s="17">
        <v>0</v>
      </c>
      <c r="CD13" s="17">
        <v>0</v>
      </c>
      <c r="CE13" s="17">
        <v>0</v>
      </c>
      <c r="CF13" s="5">
        <f>AVERAGE(C13,F13,I13,L13,O13,R13,U13,X13,AA13,AD13,AG13,AJ13,AM13,AP13,AS13,AV13,AY13,BB13,BE13,BH13,BK13,BN13,BQ13,BT13,BW13,BZ13,CC13)</f>
        <v>0</v>
      </c>
      <c r="CG13" s="5">
        <f t="shared" ref="CG13" si="7">AVERAGE(D13,G13,J13,M13,P13,S13,V13,Y13,AB13,AE13,AH13,AK13,AN13,AQ13,AT13,AW13,AZ13,BC13,BF13,BI13,BL13,BO13,BR13,BU13,BX13,CA13,CD13)</f>
        <v>0</v>
      </c>
      <c r="CH13" s="5">
        <f t="shared" ref="CH13" si="8">AVERAGE(E13,H13,K13,N13,Q13,T13,W13,Z13,AC13,AF13,AI13,AL13,AO13,AR13,AU13,AX13,BA13,BD13,BG13,BJ13,BM13,BP13,BS13,BV13,BY13,CB13,CE13)</f>
        <v>0</v>
      </c>
      <c r="CM13" s="11" t="s">
        <v>6</v>
      </c>
      <c r="CN13" s="12" t="s">
        <v>7</v>
      </c>
    </row>
    <row r="14" spans="1:103" s="2" customFormat="1" ht="10.9" customHeight="1" outlineLevel="1" thickBot="1" x14ac:dyDescent="0.25">
      <c r="A14" s="93"/>
      <c r="B14" s="92">
        <v>10</v>
      </c>
      <c r="C14" s="17">
        <v>0</v>
      </c>
      <c r="D14" s="17">
        <v>0</v>
      </c>
      <c r="E14" s="17">
        <v>0</v>
      </c>
      <c r="F14" s="17">
        <v>0</v>
      </c>
      <c r="G14" s="17">
        <v>0</v>
      </c>
      <c r="H14" s="17">
        <v>0</v>
      </c>
      <c r="I14" s="17">
        <v>0</v>
      </c>
      <c r="J14" s="17">
        <v>0</v>
      </c>
      <c r="K14" s="17">
        <v>0</v>
      </c>
      <c r="L14" s="17">
        <v>0</v>
      </c>
      <c r="M14" s="17">
        <v>0</v>
      </c>
      <c r="N14" s="17">
        <v>0</v>
      </c>
      <c r="O14" s="17">
        <v>0</v>
      </c>
      <c r="P14" s="17">
        <v>0</v>
      </c>
      <c r="Q14" s="17">
        <v>0</v>
      </c>
      <c r="R14" s="17">
        <v>0</v>
      </c>
      <c r="S14" s="17">
        <v>0</v>
      </c>
      <c r="T14" s="17">
        <v>0</v>
      </c>
      <c r="U14" s="17">
        <v>0</v>
      </c>
      <c r="V14" s="17">
        <v>0</v>
      </c>
      <c r="W14" s="17">
        <v>0</v>
      </c>
      <c r="X14" s="17">
        <v>0</v>
      </c>
      <c r="Y14" s="17">
        <v>0</v>
      </c>
      <c r="Z14" s="17">
        <v>0</v>
      </c>
      <c r="AA14" s="17">
        <v>0</v>
      </c>
      <c r="AB14" s="17">
        <v>0</v>
      </c>
      <c r="AC14" s="17">
        <v>0</v>
      </c>
      <c r="AD14" s="17">
        <v>0</v>
      </c>
      <c r="AE14" s="17">
        <v>0</v>
      </c>
      <c r="AF14" s="17">
        <v>0</v>
      </c>
      <c r="AG14" s="17">
        <v>0</v>
      </c>
      <c r="AH14" s="17">
        <v>0</v>
      </c>
      <c r="AI14" s="17">
        <v>0</v>
      </c>
      <c r="AJ14" s="17">
        <v>0</v>
      </c>
      <c r="AK14" s="17">
        <v>0</v>
      </c>
      <c r="AL14" s="17">
        <v>0</v>
      </c>
      <c r="AM14" s="17">
        <v>0</v>
      </c>
      <c r="AN14" s="17">
        <v>0</v>
      </c>
      <c r="AO14" s="17">
        <v>0</v>
      </c>
      <c r="AP14" s="17">
        <v>0</v>
      </c>
      <c r="AQ14" s="17">
        <v>0</v>
      </c>
      <c r="AR14" s="17">
        <v>0</v>
      </c>
      <c r="AS14" s="17">
        <v>0</v>
      </c>
      <c r="AT14" s="17">
        <v>0</v>
      </c>
      <c r="AU14" s="17">
        <v>0</v>
      </c>
      <c r="AV14" s="17">
        <v>0</v>
      </c>
      <c r="AW14" s="17">
        <v>0</v>
      </c>
      <c r="AX14" s="17">
        <v>0</v>
      </c>
      <c r="AY14" s="17">
        <v>0</v>
      </c>
      <c r="AZ14" s="17">
        <v>0</v>
      </c>
      <c r="BA14" s="17">
        <v>0</v>
      </c>
      <c r="BB14" s="17">
        <v>0</v>
      </c>
      <c r="BC14" s="17">
        <v>0</v>
      </c>
      <c r="BD14" s="17">
        <v>0</v>
      </c>
      <c r="BE14" s="17">
        <v>0</v>
      </c>
      <c r="BF14" s="17">
        <v>0</v>
      </c>
      <c r="BG14" s="17">
        <v>0</v>
      </c>
      <c r="BH14" s="17">
        <v>0</v>
      </c>
      <c r="BI14" s="17">
        <v>0</v>
      </c>
      <c r="BJ14" s="17">
        <v>0</v>
      </c>
      <c r="BK14" s="17">
        <v>0</v>
      </c>
      <c r="BL14" s="17">
        <v>0</v>
      </c>
      <c r="BM14" s="17">
        <v>0</v>
      </c>
      <c r="BN14" s="17">
        <v>0</v>
      </c>
      <c r="BO14" s="17">
        <v>0</v>
      </c>
      <c r="BP14" s="17">
        <v>0</v>
      </c>
      <c r="BQ14" s="17">
        <v>0</v>
      </c>
      <c r="BR14" s="17">
        <v>0</v>
      </c>
      <c r="BS14" s="17">
        <v>0</v>
      </c>
      <c r="BT14" s="17">
        <v>0</v>
      </c>
      <c r="BU14" s="17">
        <v>0</v>
      </c>
      <c r="BV14" s="17">
        <v>0</v>
      </c>
      <c r="BW14" s="17">
        <v>0</v>
      </c>
      <c r="BX14" s="17">
        <v>0</v>
      </c>
      <c r="BY14" s="17">
        <v>0</v>
      </c>
      <c r="BZ14" s="17">
        <v>0</v>
      </c>
      <c r="CA14" s="17">
        <v>0</v>
      </c>
      <c r="CB14" s="17">
        <v>0</v>
      </c>
      <c r="CC14" s="17">
        <v>0</v>
      </c>
      <c r="CD14" s="17">
        <v>0</v>
      </c>
      <c r="CE14" s="17">
        <v>0</v>
      </c>
      <c r="CF14" s="5">
        <f t="shared" ref="CF14:CF37" si="9">AVERAGE(C14,F14,I14,L14,O14,R14,U14,X14,AA14,AD14,AG14,AJ14,AM14,AP14,AS14,AV14,AY14,BB14,BE14,BH14,BK14,BN14,BQ14,BT14,BW14,BZ14,CC14)</f>
        <v>0</v>
      </c>
      <c r="CG14" s="5">
        <f t="shared" ref="CG14:CG37" si="10">AVERAGE(D14,G14,J14,M14,P14,S14,V14,Y14,AB14,AE14,AH14,AK14,AN14,AQ14,AT14,AW14,AZ14,BC14,BF14,BI14,BL14,BO14,BR14,BU14,BX14,CA14,CD14)</f>
        <v>0</v>
      </c>
      <c r="CH14" s="5">
        <f t="shared" ref="CH14:CH37" si="11">AVERAGE(E14,H14,K14,N14,Q14,T14,W14,Z14,AC14,AF14,AI14,AL14,AO14,AR14,AU14,AX14,BA14,BD14,BG14,BJ14,BM14,BP14,BS14,BV14,BY14,CB14,CE14)</f>
        <v>0</v>
      </c>
      <c r="CL14" s="9" t="s">
        <v>10</v>
      </c>
      <c r="CM14" s="10">
        <v>1.71</v>
      </c>
      <c r="CN14" s="10">
        <v>1.8</v>
      </c>
    </row>
    <row r="15" spans="1:103" s="2" customFormat="1" ht="14.25" customHeight="1" thickBot="1" x14ac:dyDescent="0.25">
      <c r="A15" s="94"/>
      <c r="B15" s="20" t="s">
        <v>3</v>
      </c>
      <c r="C15" s="21">
        <f t="shared" ref="C15" si="12">AVERAGE(C5:C14)</f>
        <v>0</v>
      </c>
      <c r="D15" s="21">
        <f t="shared" ref="D15" si="13">AVERAGE(D5:D14)</f>
        <v>0</v>
      </c>
      <c r="E15" s="21">
        <f>AVERAGE(E5:E14)</f>
        <v>0</v>
      </c>
      <c r="F15" s="21">
        <f t="shared" ref="F15" si="14">AVERAGE(F5:F14)</f>
        <v>0</v>
      </c>
      <c r="G15" s="21">
        <f t="shared" ref="G15" si="15">AVERAGE(G5:G14)</f>
        <v>0</v>
      </c>
      <c r="H15" s="21">
        <f>AVERAGE(H5:H14)</f>
        <v>0</v>
      </c>
      <c r="I15" s="21">
        <f t="shared" ref="I15:J15" si="16">AVERAGE(I5:I14)</f>
        <v>0</v>
      </c>
      <c r="J15" s="21">
        <f t="shared" si="16"/>
        <v>0</v>
      </c>
      <c r="K15" s="21">
        <f>AVERAGE(K5:K14)</f>
        <v>0</v>
      </c>
      <c r="L15" s="21">
        <f t="shared" ref="L15" si="17">AVERAGE(L5:L14)</f>
        <v>0</v>
      </c>
      <c r="M15" s="21">
        <f t="shared" ref="M15" si="18">AVERAGE(M5:M14)</f>
        <v>0</v>
      </c>
      <c r="N15" s="21">
        <f>AVERAGE(N5:N14)</f>
        <v>0</v>
      </c>
      <c r="O15" s="21">
        <f t="shared" ref="O15" si="19">AVERAGE(O5:O14)</f>
        <v>0</v>
      </c>
      <c r="P15" s="21">
        <f t="shared" ref="P15" si="20">AVERAGE(P5:P14)</f>
        <v>0</v>
      </c>
      <c r="Q15" s="21">
        <f>AVERAGE(Q5:Q14)</f>
        <v>0</v>
      </c>
      <c r="R15" s="21">
        <f t="shared" ref="R15" si="21">AVERAGE(R5:R14)</f>
        <v>0</v>
      </c>
      <c r="S15" s="21">
        <f t="shared" ref="S15" si="22">AVERAGE(S5:S14)</f>
        <v>0</v>
      </c>
      <c r="T15" s="21">
        <f>AVERAGE(T5:T14)</f>
        <v>0</v>
      </c>
      <c r="U15" s="21">
        <f t="shared" ref="U15" si="23">AVERAGE(U5:U14)</f>
        <v>0</v>
      </c>
      <c r="V15" s="21">
        <f t="shared" ref="V15" si="24">AVERAGE(V5:V14)</f>
        <v>0</v>
      </c>
      <c r="W15" s="21">
        <f>AVERAGE(W5:W14)</f>
        <v>0</v>
      </c>
      <c r="X15" s="21">
        <f t="shared" ref="X15" si="25">AVERAGE(X5:X14)</f>
        <v>0</v>
      </c>
      <c r="Y15" s="21">
        <f t="shared" ref="Y15" si="26">AVERAGE(Y5:Y14)</f>
        <v>0</v>
      </c>
      <c r="Z15" s="21">
        <f>AVERAGE(Z5:Z14)</f>
        <v>0</v>
      </c>
      <c r="AA15" s="21">
        <f t="shared" ref="AA15" si="27">AVERAGE(AA5:AA14)</f>
        <v>0</v>
      </c>
      <c r="AB15" s="21">
        <f t="shared" ref="AB15" si="28">AVERAGE(AB5:AB14)</f>
        <v>0</v>
      </c>
      <c r="AC15" s="21">
        <f>AVERAGE(AC5:AC14)</f>
        <v>0</v>
      </c>
      <c r="AD15" s="21">
        <f t="shared" ref="AD15" si="29">AVERAGE(AD5:AD14)</f>
        <v>0</v>
      </c>
      <c r="AE15" s="21">
        <f t="shared" ref="AE15" si="30">AVERAGE(AE5:AE14)</f>
        <v>0</v>
      </c>
      <c r="AF15" s="21">
        <f>AVERAGE(AF5:AF14)</f>
        <v>0</v>
      </c>
      <c r="AG15" s="31">
        <f t="shared" ref="AG15" si="31">AVERAGE(AG5:AG14)</f>
        <v>0</v>
      </c>
      <c r="AH15" s="21">
        <f t="shared" ref="AH15" si="32">AVERAGE(AH5:AH14)</f>
        <v>0</v>
      </c>
      <c r="AI15" s="21">
        <f>AVERAGE(AI5:AI14)</f>
        <v>0</v>
      </c>
      <c r="AJ15" s="21">
        <f t="shared" ref="AJ15" si="33">AVERAGE(AJ5:AJ14)</f>
        <v>0</v>
      </c>
      <c r="AK15" s="21">
        <f t="shared" ref="AK15" si="34">AVERAGE(AK5:AK14)</f>
        <v>0</v>
      </c>
      <c r="AL15" s="21">
        <f>AVERAGE(AL5:AL14)</f>
        <v>0</v>
      </c>
      <c r="AM15" s="21">
        <f t="shared" ref="AM15" si="35">AVERAGE(AM5:AM14)</f>
        <v>0</v>
      </c>
      <c r="AN15" s="21">
        <f t="shared" ref="AN15" si="36">AVERAGE(AN5:AN14)</f>
        <v>0</v>
      </c>
      <c r="AO15" s="21">
        <f>AVERAGE(AO5:AO14)</f>
        <v>0</v>
      </c>
      <c r="AP15" s="21">
        <f t="shared" ref="AP15" si="37">AVERAGE(AP5:AP14)</f>
        <v>0</v>
      </c>
      <c r="AQ15" s="21">
        <f t="shared" ref="AQ15" si="38">AVERAGE(AQ5:AQ14)</f>
        <v>0</v>
      </c>
      <c r="AR15" s="21">
        <f>AVERAGE(AR5:AR14)</f>
        <v>0</v>
      </c>
      <c r="AS15" s="21">
        <f t="shared" ref="AS15" si="39">AVERAGE(AS5:AS14)</f>
        <v>0</v>
      </c>
      <c r="AT15" s="21">
        <f t="shared" ref="AT15" si="40">AVERAGE(AT5:AT14)</f>
        <v>0</v>
      </c>
      <c r="AU15" s="21">
        <f>AVERAGE(AU5:AU14)</f>
        <v>0</v>
      </c>
      <c r="AV15" s="21">
        <f t="shared" ref="AV15" si="41">AVERAGE(AV5:AV14)</f>
        <v>0</v>
      </c>
      <c r="AW15" s="21">
        <f t="shared" ref="AW15" si="42">AVERAGE(AW5:AW14)</f>
        <v>0</v>
      </c>
      <c r="AX15" s="21">
        <f>AVERAGE(AX5:AX14)</f>
        <v>0</v>
      </c>
      <c r="AY15" s="21">
        <f t="shared" ref="AY15" si="43">AVERAGE(AY5:AY14)</f>
        <v>0</v>
      </c>
      <c r="AZ15" s="21">
        <f t="shared" ref="AZ15" si="44">AVERAGE(AZ5:AZ14)</f>
        <v>0</v>
      </c>
      <c r="BA15" s="21">
        <f>AVERAGE(BA5:BA14)</f>
        <v>0</v>
      </c>
      <c r="BB15" s="21">
        <f t="shared" ref="BB15" si="45">AVERAGE(BB5:BB14)</f>
        <v>0</v>
      </c>
      <c r="BC15" s="21">
        <f t="shared" ref="BC15" si="46">AVERAGE(BC5:BC14)</f>
        <v>0</v>
      </c>
      <c r="BD15" s="21">
        <f>AVERAGE(BD5:BD14)</f>
        <v>0</v>
      </c>
      <c r="BE15" s="21">
        <f t="shared" ref="BE15" si="47">AVERAGE(BE5:BE14)</f>
        <v>0</v>
      </c>
      <c r="BF15" s="21">
        <f t="shared" ref="BF15" si="48">AVERAGE(BF5:BF14)</f>
        <v>0</v>
      </c>
      <c r="BG15" s="21">
        <f>AVERAGE(BG5:BG14)</f>
        <v>0</v>
      </c>
      <c r="BH15" s="21">
        <f t="shared" ref="BH15:BI15" si="49">AVERAGE(BH5:BH14)</f>
        <v>0</v>
      </c>
      <c r="BI15" s="21">
        <f t="shared" si="49"/>
        <v>0</v>
      </c>
      <c r="BJ15" s="21">
        <f>AVERAGE(BJ5:BJ14)</f>
        <v>0</v>
      </c>
      <c r="BK15" s="21">
        <f t="shared" ref="BK15" si="50">AVERAGE(BK5:BK14)</f>
        <v>0</v>
      </c>
      <c r="BL15" s="21">
        <f t="shared" ref="BL15" si="51">AVERAGE(BL5:BL14)</f>
        <v>0</v>
      </c>
      <c r="BM15" s="21">
        <f>AVERAGE(BM5:BM14)</f>
        <v>0</v>
      </c>
      <c r="BN15" s="21">
        <f t="shared" ref="BN15:BO15" si="52">AVERAGE(BN5:BN14)</f>
        <v>0</v>
      </c>
      <c r="BO15" s="21">
        <f t="shared" si="52"/>
        <v>0</v>
      </c>
      <c r="BP15" s="21">
        <f>AVERAGE(BP5:BP14)</f>
        <v>0</v>
      </c>
      <c r="BQ15" s="98">
        <f t="shared" ref="BQ15:BX15" si="53">AVERAGE(BQ5:BQ14)</f>
        <v>0</v>
      </c>
      <c r="BR15" s="98">
        <f t="shared" si="53"/>
        <v>0</v>
      </c>
      <c r="BS15" s="98">
        <f>AVERAGE(BS5:BS14)</f>
        <v>0</v>
      </c>
      <c r="BT15" s="21">
        <f t="shared" si="53"/>
        <v>0</v>
      </c>
      <c r="BU15" s="21">
        <f t="shared" si="53"/>
        <v>0</v>
      </c>
      <c r="BV15" s="21">
        <f>AVERAGE(BV5:BV14)</f>
        <v>0</v>
      </c>
      <c r="BW15" s="21">
        <f t="shared" si="53"/>
        <v>0</v>
      </c>
      <c r="BX15" s="21">
        <f t="shared" si="53"/>
        <v>0</v>
      </c>
      <c r="BY15" s="21">
        <f>AVERAGE(BY5:BY14)</f>
        <v>0</v>
      </c>
      <c r="BZ15" s="21">
        <f t="shared" ref="BZ15" si="54">AVERAGE(BZ5:BZ14)</f>
        <v>0</v>
      </c>
      <c r="CA15" s="21">
        <f t="shared" ref="CA15" si="55">AVERAGE(CA5:CA14)</f>
        <v>0</v>
      </c>
      <c r="CB15" s="21">
        <f>AVERAGE(CB5:CB14)</f>
        <v>0</v>
      </c>
      <c r="CC15" s="21">
        <f t="shared" ref="CC15" si="56">AVERAGE(CC5:CC14)</f>
        <v>0</v>
      </c>
      <c r="CD15" s="21">
        <f t="shared" ref="CD15" si="57">AVERAGE(CD5:CD14)</f>
        <v>0</v>
      </c>
      <c r="CE15" s="21">
        <f>AVERAGE(CE5:CE14)</f>
        <v>0</v>
      </c>
      <c r="CF15" s="7">
        <f t="shared" si="9"/>
        <v>0</v>
      </c>
      <c r="CG15" s="7">
        <f t="shared" si="10"/>
        <v>0</v>
      </c>
      <c r="CH15" s="7">
        <f t="shared" si="11"/>
        <v>0</v>
      </c>
      <c r="CI15" s="2">
        <v>1</v>
      </c>
      <c r="CJ15" s="65">
        <f>AVERAGE(CH5:CH14)</f>
        <v>0</v>
      </c>
      <c r="CL15" s="9" t="s">
        <v>11</v>
      </c>
      <c r="CM15" s="10">
        <v>1.68</v>
      </c>
      <c r="CN15" s="10">
        <v>1.72</v>
      </c>
    </row>
    <row r="16" spans="1:103" s="2" customFormat="1" ht="12.75" outlineLevel="1" x14ac:dyDescent="0.2">
      <c r="A16" s="93" t="s">
        <v>82</v>
      </c>
      <c r="B16" s="92">
        <v>1</v>
      </c>
      <c r="C16" s="17">
        <v>0</v>
      </c>
      <c r="D16" s="17">
        <v>0</v>
      </c>
      <c r="E16" s="17">
        <v>0</v>
      </c>
      <c r="F16" s="17">
        <v>0</v>
      </c>
      <c r="G16" s="17">
        <v>0</v>
      </c>
      <c r="H16" s="17">
        <v>0</v>
      </c>
      <c r="I16" s="17">
        <v>0</v>
      </c>
      <c r="J16" s="17">
        <v>0</v>
      </c>
      <c r="K16" s="17">
        <v>0</v>
      </c>
      <c r="L16" s="17">
        <v>0</v>
      </c>
      <c r="M16" s="17">
        <v>0</v>
      </c>
      <c r="N16" s="17">
        <v>0</v>
      </c>
      <c r="O16" s="17">
        <v>0</v>
      </c>
      <c r="P16" s="17">
        <v>0</v>
      </c>
      <c r="Q16" s="17">
        <v>0</v>
      </c>
      <c r="R16" s="17">
        <v>0</v>
      </c>
      <c r="S16" s="17">
        <v>0</v>
      </c>
      <c r="T16" s="17">
        <v>0</v>
      </c>
      <c r="U16" s="17">
        <v>0</v>
      </c>
      <c r="V16" s="17">
        <v>0</v>
      </c>
      <c r="W16" s="17">
        <v>0</v>
      </c>
      <c r="X16" s="17">
        <v>0</v>
      </c>
      <c r="Y16" s="17">
        <v>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0</v>
      </c>
      <c r="AV16" s="17">
        <v>0</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0</v>
      </c>
      <c r="BQ16" s="17">
        <v>0</v>
      </c>
      <c r="BR16" s="17">
        <v>0</v>
      </c>
      <c r="BS16" s="17">
        <v>0</v>
      </c>
      <c r="BT16" s="17">
        <v>0</v>
      </c>
      <c r="BU16" s="17">
        <v>0</v>
      </c>
      <c r="BV16" s="17">
        <v>0</v>
      </c>
      <c r="BW16" s="17">
        <v>0</v>
      </c>
      <c r="BX16" s="17">
        <v>0</v>
      </c>
      <c r="BY16" s="17">
        <v>0</v>
      </c>
      <c r="BZ16" s="17">
        <v>0</v>
      </c>
      <c r="CA16" s="17">
        <v>0</v>
      </c>
      <c r="CB16" s="17">
        <v>0</v>
      </c>
      <c r="CC16" s="17">
        <v>0</v>
      </c>
      <c r="CD16" s="17">
        <v>0</v>
      </c>
      <c r="CE16" s="17">
        <v>0</v>
      </c>
      <c r="CF16" s="5">
        <f t="shared" si="9"/>
        <v>0</v>
      </c>
      <c r="CG16" s="5">
        <f t="shared" si="10"/>
        <v>0</v>
      </c>
      <c r="CH16" s="5">
        <f t="shared" si="11"/>
        <v>0</v>
      </c>
      <c r="CV16" s="2">
        <v>1</v>
      </c>
      <c r="CW16" s="37" t="s">
        <v>14</v>
      </c>
      <c r="CX16" s="2" t="s">
        <v>15</v>
      </c>
      <c r="CY16" s="2" t="s">
        <v>16</v>
      </c>
    </row>
    <row r="17" spans="1:103" s="2" customFormat="1" ht="12.75" outlineLevel="1" x14ac:dyDescent="0.2">
      <c r="A17" s="93"/>
      <c r="B17" s="92">
        <v>2</v>
      </c>
      <c r="C17" s="17">
        <v>0</v>
      </c>
      <c r="D17" s="17">
        <v>0</v>
      </c>
      <c r="E17" s="17">
        <v>0</v>
      </c>
      <c r="F17" s="17">
        <v>0</v>
      </c>
      <c r="G17" s="17">
        <v>0</v>
      </c>
      <c r="H17" s="17">
        <v>0</v>
      </c>
      <c r="I17" s="17">
        <v>0</v>
      </c>
      <c r="J17" s="17">
        <v>0</v>
      </c>
      <c r="K17" s="17">
        <v>0</v>
      </c>
      <c r="L17" s="17">
        <v>0</v>
      </c>
      <c r="M17" s="17">
        <v>0</v>
      </c>
      <c r="N17" s="17">
        <v>0</v>
      </c>
      <c r="O17" s="17">
        <v>0</v>
      </c>
      <c r="P17" s="17">
        <v>0</v>
      </c>
      <c r="Q17" s="17">
        <v>0</v>
      </c>
      <c r="R17" s="17">
        <v>0</v>
      </c>
      <c r="S17" s="17">
        <v>0</v>
      </c>
      <c r="T17" s="17">
        <v>0</v>
      </c>
      <c r="U17" s="17">
        <v>0</v>
      </c>
      <c r="V17" s="17">
        <v>0</v>
      </c>
      <c r="W17" s="17">
        <v>0</v>
      </c>
      <c r="X17" s="17">
        <v>0</v>
      </c>
      <c r="Y17" s="17">
        <v>0</v>
      </c>
      <c r="Z17" s="17">
        <v>0</v>
      </c>
      <c r="AA17" s="17">
        <v>0</v>
      </c>
      <c r="AB17" s="17">
        <v>0</v>
      </c>
      <c r="AC17" s="17">
        <v>0</v>
      </c>
      <c r="AD17" s="17">
        <v>0</v>
      </c>
      <c r="AE17" s="17">
        <v>0</v>
      </c>
      <c r="AF17" s="17">
        <v>0</v>
      </c>
      <c r="AG17" s="17">
        <v>0</v>
      </c>
      <c r="AH17" s="17">
        <v>0</v>
      </c>
      <c r="AI17" s="17">
        <v>0</v>
      </c>
      <c r="AJ17" s="17">
        <v>0</v>
      </c>
      <c r="AK17" s="17">
        <v>0</v>
      </c>
      <c r="AL17" s="17">
        <v>0</v>
      </c>
      <c r="AM17" s="17">
        <v>0</v>
      </c>
      <c r="AN17" s="17">
        <v>0</v>
      </c>
      <c r="AO17" s="17">
        <v>0</v>
      </c>
      <c r="AP17" s="17">
        <v>0</v>
      </c>
      <c r="AQ17" s="17">
        <v>0</v>
      </c>
      <c r="AR17" s="17">
        <v>0</v>
      </c>
      <c r="AS17" s="17">
        <v>0</v>
      </c>
      <c r="AT17" s="17">
        <v>0</v>
      </c>
      <c r="AU17" s="17">
        <v>0</v>
      </c>
      <c r="AV17" s="17">
        <v>0</v>
      </c>
      <c r="AW17" s="17">
        <v>0</v>
      </c>
      <c r="AX17" s="17">
        <v>0</v>
      </c>
      <c r="AY17" s="17">
        <v>0</v>
      </c>
      <c r="AZ17" s="17">
        <v>0</v>
      </c>
      <c r="BA17" s="17">
        <v>0</v>
      </c>
      <c r="BB17" s="17">
        <v>0</v>
      </c>
      <c r="BC17" s="17">
        <v>0</v>
      </c>
      <c r="BD17" s="17">
        <v>0</v>
      </c>
      <c r="BE17" s="17">
        <v>0</v>
      </c>
      <c r="BF17" s="17">
        <v>0</v>
      </c>
      <c r="BG17" s="17">
        <v>0</v>
      </c>
      <c r="BH17" s="17">
        <v>0</v>
      </c>
      <c r="BI17" s="17">
        <v>0</v>
      </c>
      <c r="BJ17" s="17">
        <v>0</v>
      </c>
      <c r="BK17" s="17">
        <v>0</v>
      </c>
      <c r="BL17" s="17">
        <v>0</v>
      </c>
      <c r="BM17" s="17">
        <v>0</v>
      </c>
      <c r="BN17" s="17">
        <v>0</v>
      </c>
      <c r="BO17" s="17">
        <v>0</v>
      </c>
      <c r="BP17" s="17">
        <v>0</v>
      </c>
      <c r="BQ17" s="17">
        <v>0</v>
      </c>
      <c r="BR17" s="17">
        <v>0</v>
      </c>
      <c r="BS17" s="17">
        <v>0</v>
      </c>
      <c r="BT17" s="17">
        <v>0</v>
      </c>
      <c r="BU17" s="17">
        <v>0</v>
      </c>
      <c r="BV17" s="17">
        <v>0</v>
      </c>
      <c r="BW17" s="17">
        <v>0</v>
      </c>
      <c r="BX17" s="17">
        <v>0</v>
      </c>
      <c r="BY17" s="17">
        <v>0</v>
      </c>
      <c r="BZ17" s="17">
        <v>0</v>
      </c>
      <c r="CA17" s="17">
        <v>0</v>
      </c>
      <c r="CB17" s="17">
        <v>0</v>
      </c>
      <c r="CC17" s="17">
        <v>0</v>
      </c>
      <c r="CD17" s="17">
        <v>0</v>
      </c>
      <c r="CE17" s="17">
        <v>0</v>
      </c>
      <c r="CF17" s="5">
        <f t="shared" ref="CF17:CF23" si="58">AVERAGE(C17,F17,I17,L17,O17,R17,U17,X17,AA17,AD17,AG17,AJ17,AM17,AP17,AS17,AV17,AY17,BB17,BE17,BH17,BK17,BN17,BQ17,BT17,BW17,BZ17,CC17)</f>
        <v>0</v>
      </c>
      <c r="CG17" s="5">
        <f t="shared" ref="CG17:CG23" si="59">AVERAGE(D17,G17,J17,M17,P17,S17,V17,Y17,AB17,AE17,AH17,AK17,AN17,AQ17,AT17,AW17,AZ17,BC17,BF17,BI17,BL17,BO17,BR17,BU17,BX17,CA17,CD17)</f>
        <v>0</v>
      </c>
      <c r="CH17" s="5">
        <f t="shared" ref="CH17:CH23" si="60">AVERAGE(E17,H17,K17,N17,Q17,T17,W17,Z17,AC17,AF17,AI17,AL17,AO17,AR17,AU17,AX17,BA17,BD17,BG17,BJ17,BM17,BP17,BS17,BV17,BY17,CB17,CE17)</f>
        <v>0</v>
      </c>
      <c r="CW17" s="39"/>
    </row>
    <row r="18" spans="1:103" s="2" customFormat="1" ht="12.75" outlineLevel="1" x14ac:dyDescent="0.2">
      <c r="A18" s="93"/>
      <c r="B18" s="92">
        <v>3</v>
      </c>
      <c r="C18" s="17">
        <v>0</v>
      </c>
      <c r="D18" s="17">
        <v>0</v>
      </c>
      <c r="E18" s="17">
        <v>0</v>
      </c>
      <c r="F18" s="17">
        <v>0</v>
      </c>
      <c r="G18" s="17">
        <v>0</v>
      </c>
      <c r="H18" s="17">
        <v>0</v>
      </c>
      <c r="I18" s="17">
        <v>0</v>
      </c>
      <c r="J18" s="17">
        <v>0</v>
      </c>
      <c r="K18" s="17">
        <v>0</v>
      </c>
      <c r="L18" s="17">
        <v>0</v>
      </c>
      <c r="M18" s="17">
        <v>0</v>
      </c>
      <c r="N18" s="17">
        <v>0</v>
      </c>
      <c r="O18" s="17">
        <v>0</v>
      </c>
      <c r="P18" s="17">
        <v>0</v>
      </c>
      <c r="Q18" s="17">
        <v>0</v>
      </c>
      <c r="R18" s="17">
        <v>0</v>
      </c>
      <c r="S18" s="17">
        <v>0</v>
      </c>
      <c r="T18" s="17">
        <v>0</v>
      </c>
      <c r="U18" s="17">
        <v>0</v>
      </c>
      <c r="V18" s="17">
        <v>0</v>
      </c>
      <c r="W18" s="17">
        <v>0</v>
      </c>
      <c r="X18" s="17">
        <v>0</v>
      </c>
      <c r="Y18" s="17">
        <v>0</v>
      </c>
      <c r="Z18" s="17">
        <v>0</v>
      </c>
      <c r="AA18" s="17">
        <v>0</v>
      </c>
      <c r="AB18" s="17">
        <v>0</v>
      </c>
      <c r="AC18" s="17">
        <v>0</v>
      </c>
      <c r="AD18" s="17">
        <v>0</v>
      </c>
      <c r="AE18" s="17">
        <v>0</v>
      </c>
      <c r="AF18" s="17">
        <v>0</v>
      </c>
      <c r="AG18" s="17">
        <v>0</v>
      </c>
      <c r="AH18" s="17">
        <v>0</v>
      </c>
      <c r="AI18" s="17">
        <v>0</v>
      </c>
      <c r="AJ18" s="17">
        <v>0</v>
      </c>
      <c r="AK18" s="17">
        <v>0</v>
      </c>
      <c r="AL18" s="17">
        <v>0</v>
      </c>
      <c r="AM18" s="17">
        <v>0</v>
      </c>
      <c r="AN18" s="17">
        <v>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0</v>
      </c>
      <c r="BQ18" s="17">
        <v>0</v>
      </c>
      <c r="BR18" s="17">
        <v>0</v>
      </c>
      <c r="BS18" s="17">
        <v>0</v>
      </c>
      <c r="BT18" s="17">
        <v>0</v>
      </c>
      <c r="BU18" s="17">
        <v>0</v>
      </c>
      <c r="BV18" s="17">
        <v>0</v>
      </c>
      <c r="BW18" s="17">
        <v>0</v>
      </c>
      <c r="BX18" s="17">
        <v>0</v>
      </c>
      <c r="BY18" s="17">
        <v>0</v>
      </c>
      <c r="BZ18" s="17">
        <v>0</v>
      </c>
      <c r="CA18" s="17">
        <v>0</v>
      </c>
      <c r="CB18" s="17">
        <v>0</v>
      </c>
      <c r="CC18" s="17">
        <v>0</v>
      </c>
      <c r="CD18" s="17">
        <v>0</v>
      </c>
      <c r="CE18" s="17">
        <v>0</v>
      </c>
      <c r="CF18" s="5">
        <f t="shared" si="58"/>
        <v>0</v>
      </c>
      <c r="CG18" s="5">
        <f t="shared" si="59"/>
        <v>0</v>
      </c>
      <c r="CH18" s="5">
        <f t="shared" si="60"/>
        <v>0</v>
      </c>
      <c r="CW18" s="39"/>
    </row>
    <row r="19" spans="1:103" s="2" customFormat="1" ht="12.75" outlineLevel="1" x14ac:dyDescent="0.2">
      <c r="A19" s="93"/>
      <c r="B19" s="92">
        <v>4</v>
      </c>
      <c r="C19" s="17">
        <v>0</v>
      </c>
      <c r="D19" s="17">
        <v>0</v>
      </c>
      <c r="E19" s="17">
        <v>0</v>
      </c>
      <c r="F19" s="17">
        <v>0</v>
      </c>
      <c r="G19" s="17">
        <v>0</v>
      </c>
      <c r="H19" s="17">
        <v>0</v>
      </c>
      <c r="I19" s="17">
        <v>0</v>
      </c>
      <c r="J19" s="17">
        <v>0</v>
      </c>
      <c r="K19" s="17">
        <v>0</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0</v>
      </c>
      <c r="AT19" s="17">
        <v>0</v>
      </c>
      <c r="AU19" s="17">
        <v>0</v>
      </c>
      <c r="AV19" s="17">
        <v>0</v>
      </c>
      <c r="AW19" s="17">
        <v>0</v>
      </c>
      <c r="AX19" s="17">
        <v>0</v>
      </c>
      <c r="AY19" s="17">
        <v>0</v>
      </c>
      <c r="AZ19" s="17">
        <v>0</v>
      </c>
      <c r="BA19" s="17">
        <v>0</v>
      </c>
      <c r="BB19" s="17">
        <v>0</v>
      </c>
      <c r="BC19" s="17">
        <v>0</v>
      </c>
      <c r="BD19" s="17">
        <v>0</v>
      </c>
      <c r="BE19" s="17">
        <v>0</v>
      </c>
      <c r="BF19" s="17">
        <v>0</v>
      </c>
      <c r="BG19" s="17">
        <v>0</v>
      </c>
      <c r="BH19" s="17">
        <v>0</v>
      </c>
      <c r="BI19" s="17">
        <v>0</v>
      </c>
      <c r="BJ19" s="17">
        <v>0</v>
      </c>
      <c r="BK19" s="17">
        <v>0</v>
      </c>
      <c r="BL19" s="17">
        <v>0</v>
      </c>
      <c r="BM19" s="17">
        <v>0</v>
      </c>
      <c r="BN19" s="17">
        <v>0</v>
      </c>
      <c r="BO19" s="17">
        <v>0</v>
      </c>
      <c r="BP19" s="17">
        <v>0</v>
      </c>
      <c r="BQ19" s="17">
        <v>0</v>
      </c>
      <c r="BR19" s="17">
        <v>0</v>
      </c>
      <c r="BS19" s="17">
        <v>0</v>
      </c>
      <c r="BT19" s="17">
        <v>0</v>
      </c>
      <c r="BU19" s="17">
        <v>0</v>
      </c>
      <c r="BV19" s="17">
        <v>0</v>
      </c>
      <c r="BW19" s="17">
        <v>0</v>
      </c>
      <c r="BX19" s="17">
        <v>0</v>
      </c>
      <c r="BY19" s="17">
        <v>0</v>
      </c>
      <c r="BZ19" s="17">
        <v>0</v>
      </c>
      <c r="CA19" s="17">
        <v>0</v>
      </c>
      <c r="CB19" s="17">
        <v>0</v>
      </c>
      <c r="CC19" s="17">
        <v>0</v>
      </c>
      <c r="CD19" s="17">
        <v>0</v>
      </c>
      <c r="CE19" s="17">
        <v>0</v>
      </c>
      <c r="CF19" s="5">
        <f t="shared" si="58"/>
        <v>0</v>
      </c>
      <c r="CG19" s="5">
        <f t="shared" si="59"/>
        <v>0</v>
      </c>
      <c r="CH19" s="5">
        <f t="shared" si="60"/>
        <v>0</v>
      </c>
      <c r="CW19" s="39"/>
    </row>
    <row r="20" spans="1:103" s="2" customFormat="1" ht="12.75" outlineLevel="1" x14ac:dyDescent="0.2">
      <c r="A20" s="93"/>
      <c r="B20" s="92">
        <v>5</v>
      </c>
      <c r="C20" s="17">
        <v>0</v>
      </c>
      <c r="D20" s="17">
        <v>0</v>
      </c>
      <c r="E20" s="17">
        <v>0</v>
      </c>
      <c r="F20" s="17">
        <v>0</v>
      </c>
      <c r="G20" s="17">
        <v>0</v>
      </c>
      <c r="H20" s="17">
        <v>0</v>
      </c>
      <c r="I20" s="17">
        <v>0</v>
      </c>
      <c r="J20" s="17">
        <v>0</v>
      </c>
      <c r="K20" s="17">
        <v>0</v>
      </c>
      <c r="L20" s="17">
        <v>0</v>
      </c>
      <c r="M20" s="17">
        <v>0</v>
      </c>
      <c r="N20" s="17">
        <v>0</v>
      </c>
      <c r="O20" s="17">
        <v>0</v>
      </c>
      <c r="P20" s="17">
        <v>0</v>
      </c>
      <c r="Q20" s="17">
        <v>0</v>
      </c>
      <c r="R20" s="17">
        <v>0</v>
      </c>
      <c r="S20" s="17">
        <v>0</v>
      </c>
      <c r="T20" s="17">
        <v>0</v>
      </c>
      <c r="U20" s="17">
        <v>0</v>
      </c>
      <c r="V20" s="17">
        <v>0</v>
      </c>
      <c r="W20" s="17">
        <v>0</v>
      </c>
      <c r="X20" s="17">
        <v>0</v>
      </c>
      <c r="Y20" s="17">
        <v>0</v>
      </c>
      <c r="Z20" s="17">
        <v>0</v>
      </c>
      <c r="AA20" s="17">
        <v>0</v>
      </c>
      <c r="AB20" s="17">
        <v>0</v>
      </c>
      <c r="AC20" s="17">
        <v>0</v>
      </c>
      <c r="AD20" s="17">
        <v>0</v>
      </c>
      <c r="AE20" s="17">
        <v>0</v>
      </c>
      <c r="AF20" s="17">
        <v>0</v>
      </c>
      <c r="AG20" s="17">
        <v>0</v>
      </c>
      <c r="AH20" s="17">
        <v>0</v>
      </c>
      <c r="AI20" s="17">
        <v>0</v>
      </c>
      <c r="AJ20" s="17">
        <v>0</v>
      </c>
      <c r="AK20" s="17">
        <v>0</v>
      </c>
      <c r="AL20" s="17">
        <v>0</v>
      </c>
      <c r="AM20" s="17">
        <v>0</v>
      </c>
      <c r="AN20" s="17">
        <v>0</v>
      </c>
      <c r="AO20" s="17">
        <v>0</v>
      </c>
      <c r="AP20" s="17">
        <v>0</v>
      </c>
      <c r="AQ20" s="17">
        <v>0</v>
      </c>
      <c r="AR20" s="17">
        <v>0</v>
      </c>
      <c r="AS20" s="17">
        <v>0</v>
      </c>
      <c r="AT20" s="17">
        <v>0</v>
      </c>
      <c r="AU20" s="17">
        <v>0</v>
      </c>
      <c r="AV20" s="17">
        <v>0</v>
      </c>
      <c r="AW20" s="17">
        <v>0</v>
      </c>
      <c r="AX20" s="17">
        <v>0</v>
      </c>
      <c r="AY20" s="17">
        <v>0</v>
      </c>
      <c r="AZ20" s="17">
        <v>0</v>
      </c>
      <c r="BA20" s="17">
        <v>0</v>
      </c>
      <c r="BB20" s="17">
        <v>0</v>
      </c>
      <c r="BC20" s="17">
        <v>0</v>
      </c>
      <c r="BD20" s="17">
        <v>0</v>
      </c>
      <c r="BE20" s="17">
        <v>0</v>
      </c>
      <c r="BF20" s="17">
        <v>0</v>
      </c>
      <c r="BG20" s="17">
        <v>0</v>
      </c>
      <c r="BH20" s="17">
        <v>0</v>
      </c>
      <c r="BI20" s="17">
        <v>0</v>
      </c>
      <c r="BJ20" s="17">
        <v>0</v>
      </c>
      <c r="BK20" s="17">
        <v>0</v>
      </c>
      <c r="BL20" s="17">
        <v>0</v>
      </c>
      <c r="BM20" s="17">
        <v>0</v>
      </c>
      <c r="BN20" s="17">
        <v>0</v>
      </c>
      <c r="BO20" s="17">
        <v>0</v>
      </c>
      <c r="BP20" s="17">
        <v>0</v>
      </c>
      <c r="BQ20" s="17">
        <v>0</v>
      </c>
      <c r="BR20" s="17">
        <v>0</v>
      </c>
      <c r="BS20" s="17">
        <v>0</v>
      </c>
      <c r="BT20" s="17">
        <v>0</v>
      </c>
      <c r="BU20" s="17">
        <v>0</v>
      </c>
      <c r="BV20" s="17">
        <v>0</v>
      </c>
      <c r="BW20" s="17">
        <v>0</v>
      </c>
      <c r="BX20" s="17">
        <v>0</v>
      </c>
      <c r="BY20" s="17">
        <v>0</v>
      </c>
      <c r="BZ20" s="17">
        <v>0</v>
      </c>
      <c r="CA20" s="17">
        <v>0</v>
      </c>
      <c r="CB20" s="17">
        <v>0</v>
      </c>
      <c r="CC20" s="17">
        <v>0</v>
      </c>
      <c r="CD20" s="17">
        <v>0</v>
      </c>
      <c r="CE20" s="17">
        <v>0</v>
      </c>
      <c r="CF20" s="5">
        <f t="shared" si="58"/>
        <v>0</v>
      </c>
      <c r="CG20" s="5">
        <f t="shared" si="59"/>
        <v>0</v>
      </c>
      <c r="CH20" s="5">
        <f t="shared" si="60"/>
        <v>0</v>
      </c>
      <c r="CW20" s="39"/>
    </row>
    <row r="21" spans="1:103" s="2" customFormat="1" ht="12.75" outlineLevel="1" x14ac:dyDescent="0.2">
      <c r="A21" s="93"/>
      <c r="B21" s="92">
        <v>6</v>
      </c>
      <c r="C21" s="17">
        <v>0</v>
      </c>
      <c r="D21" s="17">
        <v>0</v>
      </c>
      <c r="E21" s="17">
        <v>0</v>
      </c>
      <c r="F21" s="17">
        <v>0</v>
      </c>
      <c r="G21" s="17">
        <v>0</v>
      </c>
      <c r="H21" s="17">
        <v>0</v>
      </c>
      <c r="I21" s="17">
        <v>0</v>
      </c>
      <c r="J21" s="17">
        <v>0</v>
      </c>
      <c r="K21" s="17">
        <v>0</v>
      </c>
      <c r="L21" s="17">
        <v>0</v>
      </c>
      <c r="M21" s="17">
        <v>0</v>
      </c>
      <c r="N21" s="17">
        <v>0</v>
      </c>
      <c r="O21" s="17">
        <v>0</v>
      </c>
      <c r="P21" s="17">
        <v>0</v>
      </c>
      <c r="Q21" s="17">
        <v>0</v>
      </c>
      <c r="R21" s="17">
        <v>0</v>
      </c>
      <c r="S21" s="17">
        <v>0</v>
      </c>
      <c r="T21" s="17">
        <v>0</v>
      </c>
      <c r="U21" s="17">
        <v>0</v>
      </c>
      <c r="V21" s="17">
        <v>0</v>
      </c>
      <c r="W21" s="17">
        <v>0</v>
      </c>
      <c r="X21" s="17">
        <v>0</v>
      </c>
      <c r="Y21" s="17">
        <v>0</v>
      </c>
      <c r="Z21" s="17">
        <v>0</v>
      </c>
      <c r="AA21" s="17">
        <v>0</v>
      </c>
      <c r="AB21" s="17">
        <v>0</v>
      </c>
      <c r="AC21" s="17">
        <v>0</v>
      </c>
      <c r="AD21" s="17">
        <v>0</v>
      </c>
      <c r="AE21" s="17">
        <v>0</v>
      </c>
      <c r="AF21" s="17">
        <v>0</v>
      </c>
      <c r="AG21" s="17">
        <v>0</v>
      </c>
      <c r="AH21" s="17">
        <v>0</v>
      </c>
      <c r="AI21" s="17">
        <v>0</v>
      </c>
      <c r="AJ21" s="17">
        <v>0</v>
      </c>
      <c r="AK21" s="17">
        <v>0</v>
      </c>
      <c r="AL21" s="17">
        <v>0</v>
      </c>
      <c r="AM21" s="17">
        <v>0</v>
      </c>
      <c r="AN21" s="17">
        <v>0</v>
      </c>
      <c r="AO21" s="17">
        <v>0</v>
      </c>
      <c r="AP21" s="17">
        <v>0</v>
      </c>
      <c r="AQ21" s="17">
        <v>0</v>
      </c>
      <c r="AR21" s="17">
        <v>0</v>
      </c>
      <c r="AS21" s="17">
        <v>0</v>
      </c>
      <c r="AT21" s="17">
        <v>0</v>
      </c>
      <c r="AU21" s="17">
        <v>0</v>
      </c>
      <c r="AV21" s="17">
        <v>0</v>
      </c>
      <c r="AW21" s="17">
        <v>0</v>
      </c>
      <c r="AX21" s="17">
        <v>0</v>
      </c>
      <c r="AY21" s="17">
        <v>0</v>
      </c>
      <c r="AZ21" s="17">
        <v>0</v>
      </c>
      <c r="BA21" s="17">
        <v>0</v>
      </c>
      <c r="BB21" s="17">
        <v>0</v>
      </c>
      <c r="BC21" s="17">
        <v>0</v>
      </c>
      <c r="BD21" s="17">
        <v>0</v>
      </c>
      <c r="BE21" s="17">
        <v>0</v>
      </c>
      <c r="BF21" s="17">
        <v>0</v>
      </c>
      <c r="BG21" s="17">
        <v>0</v>
      </c>
      <c r="BH21" s="17">
        <v>0</v>
      </c>
      <c r="BI21" s="17">
        <v>0</v>
      </c>
      <c r="BJ21" s="17">
        <v>0</v>
      </c>
      <c r="BK21" s="17">
        <v>0</v>
      </c>
      <c r="BL21" s="17">
        <v>0</v>
      </c>
      <c r="BM21" s="17">
        <v>0</v>
      </c>
      <c r="BN21" s="17">
        <v>0</v>
      </c>
      <c r="BO21" s="17">
        <v>0</v>
      </c>
      <c r="BP21" s="17">
        <v>0</v>
      </c>
      <c r="BQ21" s="17">
        <v>0</v>
      </c>
      <c r="BR21" s="17">
        <v>0</v>
      </c>
      <c r="BS21" s="17">
        <v>0</v>
      </c>
      <c r="BT21" s="17">
        <v>0</v>
      </c>
      <c r="BU21" s="17">
        <v>0</v>
      </c>
      <c r="BV21" s="17">
        <v>0</v>
      </c>
      <c r="BW21" s="17">
        <v>0</v>
      </c>
      <c r="BX21" s="17">
        <v>0</v>
      </c>
      <c r="BY21" s="17">
        <v>0</v>
      </c>
      <c r="BZ21" s="17">
        <v>0</v>
      </c>
      <c r="CA21" s="17">
        <v>0</v>
      </c>
      <c r="CB21" s="17">
        <v>0</v>
      </c>
      <c r="CC21" s="17">
        <v>0</v>
      </c>
      <c r="CD21" s="17">
        <v>0</v>
      </c>
      <c r="CE21" s="17">
        <v>0</v>
      </c>
      <c r="CF21" s="5">
        <f t="shared" si="58"/>
        <v>0</v>
      </c>
      <c r="CG21" s="5">
        <f t="shared" si="59"/>
        <v>0</v>
      </c>
      <c r="CH21" s="5">
        <f t="shared" si="60"/>
        <v>0</v>
      </c>
      <c r="CV21" s="2">
        <v>2</v>
      </c>
      <c r="CW21" s="36" t="s">
        <v>17</v>
      </c>
      <c r="CX21" s="2" t="s">
        <v>18</v>
      </c>
      <c r="CY21" s="2" t="s">
        <v>19</v>
      </c>
    </row>
    <row r="22" spans="1:103" s="2" customFormat="1" ht="12.75" outlineLevel="1" x14ac:dyDescent="0.2">
      <c r="A22" s="93"/>
      <c r="B22" s="92">
        <v>7</v>
      </c>
      <c r="C22" s="17">
        <v>0</v>
      </c>
      <c r="D22" s="17">
        <v>0</v>
      </c>
      <c r="E22" s="17">
        <v>0</v>
      </c>
      <c r="F22" s="17">
        <v>0</v>
      </c>
      <c r="G22" s="17">
        <v>0</v>
      </c>
      <c r="H22" s="17">
        <v>0</v>
      </c>
      <c r="I22" s="17">
        <v>0</v>
      </c>
      <c r="J22" s="17">
        <v>0</v>
      </c>
      <c r="K22" s="17">
        <v>0</v>
      </c>
      <c r="L22" s="17">
        <v>0</v>
      </c>
      <c r="M22" s="17">
        <v>0</v>
      </c>
      <c r="N22" s="17">
        <v>0</v>
      </c>
      <c r="O22" s="17">
        <v>0</v>
      </c>
      <c r="P22" s="17">
        <v>0</v>
      </c>
      <c r="Q22" s="17">
        <v>0</v>
      </c>
      <c r="R22" s="17">
        <v>0</v>
      </c>
      <c r="S22" s="17">
        <v>0</v>
      </c>
      <c r="T22" s="17">
        <v>0</v>
      </c>
      <c r="U22" s="17">
        <v>0</v>
      </c>
      <c r="V22" s="17">
        <v>0</v>
      </c>
      <c r="W22" s="17">
        <v>0</v>
      </c>
      <c r="X22" s="17">
        <v>0</v>
      </c>
      <c r="Y22" s="17">
        <v>0</v>
      </c>
      <c r="Z22" s="17">
        <v>0</v>
      </c>
      <c r="AA22" s="17">
        <v>0</v>
      </c>
      <c r="AB22" s="17">
        <v>0</v>
      </c>
      <c r="AC22" s="17">
        <v>0</v>
      </c>
      <c r="AD22" s="17">
        <v>0</v>
      </c>
      <c r="AE22" s="17">
        <v>0</v>
      </c>
      <c r="AF22" s="17">
        <v>0</v>
      </c>
      <c r="AG22" s="17">
        <v>0</v>
      </c>
      <c r="AH22" s="17">
        <v>0</v>
      </c>
      <c r="AI22" s="17">
        <v>0</v>
      </c>
      <c r="AJ22" s="17">
        <v>0</v>
      </c>
      <c r="AK22" s="17">
        <v>0</v>
      </c>
      <c r="AL22" s="17">
        <v>0</v>
      </c>
      <c r="AM22" s="17">
        <v>0</v>
      </c>
      <c r="AN22" s="17">
        <v>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0</v>
      </c>
      <c r="BQ22" s="17">
        <v>0</v>
      </c>
      <c r="BR22" s="17">
        <v>0</v>
      </c>
      <c r="BS22" s="17">
        <v>0</v>
      </c>
      <c r="BT22" s="17">
        <v>0</v>
      </c>
      <c r="BU22" s="17">
        <v>0</v>
      </c>
      <c r="BV22" s="17">
        <v>0</v>
      </c>
      <c r="BW22" s="17">
        <v>0</v>
      </c>
      <c r="BX22" s="17">
        <v>0</v>
      </c>
      <c r="BY22" s="17">
        <v>0</v>
      </c>
      <c r="BZ22" s="17">
        <v>0</v>
      </c>
      <c r="CA22" s="17">
        <v>0</v>
      </c>
      <c r="CB22" s="17">
        <v>0</v>
      </c>
      <c r="CC22" s="17">
        <v>0</v>
      </c>
      <c r="CD22" s="17">
        <v>0</v>
      </c>
      <c r="CE22" s="17">
        <v>0</v>
      </c>
      <c r="CF22" s="5">
        <f t="shared" si="58"/>
        <v>0</v>
      </c>
      <c r="CG22" s="5">
        <f t="shared" si="59"/>
        <v>0</v>
      </c>
      <c r="CH22" s="5">
        <f t="shared" si="60"/>
        <v>0</v>
      </c>
      <c r="CW22" s="36"/>
    </row>
    <row r="23" spans="1:103" s="2" customFormat="1" ht="12.75" outlineLevel="1" x14ac:dyDescent="0.2">
      <c r="A23" s="93"/>
      <c r="B23" s="92">
        <v>8</v>
      </c>
      <c r="C23" s="17">
        <v>0</v>
      </c>
      <c r="D23" s="17">
        <v>0</v>
      </c>
      <c r="E23" s="17">
        <v>0</v>
      </c>
      <c r="F23" s="17">
        <v>0</v>
      </c>
      <c r="G23" s="17">
        <v>0</v>
      </c>
      <c r="H23" s="17">
        <v>0</v>
      </c>
      <c r="I23" s="17">
        <v>0</v>
      </c>
      <c r="J23" s="17">
        <v>0</v>
      </c>
      <c r="K23" s="17">
        <v>0</v>
      </c>
      <c r="L23" s="17">
        <v>0</v>
      </c>
      <c r="M23" s="17">
        <v>0</v>
      </c>
      <c r="N23" s="17">
        <v>0</v>
      </c>
      <c r="O23" s="17">
        <v>0</v>
      </c>
      <c r="P23" s="17">
        <v>0</v>
      </c>
      <c r="Q23" s="17">
        <v>0</v>
      </c>
      <c r="R23" s="17">
        <v>0</v>
      </c>
      <c r="S23" s="17">
        <v>0</v>
      </c>
      <c r="T23" s="17">
        <v>0</v>
      </c>
      <c r="U23" s="17">
        <v>0</v>
      </c>
      <c r="V23" s="17">
        <v>0</v>
      </c>
      <c r="W23" s="17">
        <v>0</v>
      </c>
      <c r="X23" s="17">
        <v>0</v>
      </c>
      <c r="Y23" s="17">
        <v>0</v>
      </c>
      <c r="Z23" s="17">
        <v>0</v>
      </c>
      <c r="AA23" s="17">
        <v>0</v>
      </c>
      <c r="AB23" s="17">
        <v>0</v>
      </c>
      <c r="AC23" s="17">
        <v>0</v>
      </c>
      <c r="AD23" s="17">
        <v>0</v>
      </c>
      <c r="AE23" s="17">
        <v>0</v>
      </c>
      <c r="AF23" s="17">
        <v>0</v>
      </c>
      <c r="AG23" s="17">
        <v>0</v>
      </c>
      <c r="AH23" s="17">
        <v>0</v>
      </c>
      <c r="AI23" s="17">
        <v>0</v>
      </c>
      <c r="AJ23" s="17">
        <v>0</v>
      </c>
      <c r="AK23" s="17">
        <v>0</v>
      </c>
      <c r="AL23" s="17">
        <v>0</v>
      </c>
      <c r="AM23" s="17">
        <v>0</v>
      </c>
      <c r="AN23" s="17">
        <v>0</v>
      </c>
      <c r="AO23" s="17">
        <v>0</v>
      </c>
      <c r="AP23" s="17">
        <v>0</v>
      </c>
      <c r="AQ23" s="17">
        <v>0</v>
      </c>
      <c r="AR23" s="17">
        <v>0</v>
      </c>
      <c r="AS23" s="17">
        <v>0</v>
      </c>
      <c r="AT23" s="17">
        <v>0</v>
      </c>
      <c r="AU23" s="17">
        <v>0</v>
      </c>
      <c r="AV23" s="17">
        <v>0</v>
      </c>
      <c r="AW23" s="17">
        <v>0</v>
      </c>
      <c r="AX23" s="17">
        <v>0</v>
      </c>
      <c r="AY23" s="17">
        <v>0</v>
      </c>
      <c r="AZ23" s="17">
        <v>0</v>
      </c>
      <c r="BA23" s="17">
        <v>0</v>
      </c>
      <c r="BB23" s="17">
        <v>0</v>
      </c>
      <c r="BC23" s="17">
        <v>0</v>
      </c>
      <c r="BD23" s="17">
        <v>0</v>
      </c>
      <c r="BE23" s="17">
        <v>0</v>
      </c>
      <c r="BF23" s="17">
        <v>0</v>
      </c>
      <c r="BG23" s="17">
        <v>0</v>
      </c>
      <c r="BH23" s="17">
        <v>0</v>
      </c>
      <c r="BI23" s="17">
        <v>0</v>
      </c>
      <c r="BJ23" s="17">
        <v>0</v>
      </c>
      <c r="BK23" s="17">
        <v>0</v>
      </c>
      <c r="BL23" s="17">
        <v>0</v>
      </c>
      <c r="BM23" s="17">
        <v>0</v>
      </c>
      <c r="BN23" s="17">
        <v>0</v>
      </c>
      <c r="BO23" s="17">
        <v>0</v>
      </c>
      <c r="BP23" s="17">
        <v>0</v>
      </c>
      <c r="BQ23" s="17">
        <v>0</v>
      </c>
      <c r="BR23" s="17">
        <v>0</v>
      </c>
      <c r="BS23" s="17">
        <v>0</v>
      </c>
      <c r="BT23" s="17">
        <v>0</v>
      </c>
      <c r="BU23" s="17">
        <v>0</v>
      </c>
      <c r="BV23" s="17">
        <v>0</v>
      </c>
      <c r="BW23" s="17">
        <v>0</v>
      </c>
      <c r="BX23" s="17">
        <v>0</v>
      </c>
      <c r="BY23" s="17">
        <v>0</v>
      </c>
      <c r="BZ23" s="17">
        <v>0</v>
      </c>
      <c r="CA23" s="17">
        <v>0</v>
      </c>
      <c r="CB23" s="17">
        <v>0</v>
      </c>
      <c r="CC23" s="17">
        <v>0</v>
      </c>
      <c r="CD23" s="17">
        <v>0</v>
      </c>
      <c r="CE23" s="17">
        <v>0</v>
      </c>
      <c r="CF23" s="5">
        <f t="shared" si="58"/>
        <v>0</v>
      </c>
      <c r="CG23" s="5">
        <f t="shared" si="59"/>
        <v>0</v>
      </c>
      <c r="CH23" s="5">
        <f t="shared" si="60"/>
        <v>0</v>
      </c>
      <c r="CW23" s="36"/>
    </row>
    <row r="24" spans="1:103" s="2" customFormat="1" ht="12.75" outlineLevel="1" x14ac:dyDescent="0.2">
      <c r="A24" s="93"/>
      <c r="B24" s="92">
        <v>9</v>
      </c>
      <c r="C24" s="17">
        <v>0</v>
      </c>
      <c r="D24" s="17">
        <v>0</v>
      </c>
      <c r="E24" s="17">
        <v>0</v>
      </c>
      <c r="F24" s="17">
        <v>0</v>
      </c>
      <c r="G24" s="17">
        <v>0</v>
      </c>
      <c r="H24" s="17">
        <v>0</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c r="AB24" s="17">
        <v>0</v>
      </c>
      <c r="AC24" s="17">
        <v>0</v>
      </c>
      <c r="AD24" s="17">
        <v>0</v>
      </c>
      <c r="AE24" s="17">
        <v>0</v>
      </c>
      <c r="AF24" s="17">
        <v>0</v>
      </c>
      <c r="AG24" s="17">
        <v>0</v>
      </c>
      <c r="AH24" s="17">
        <v>0</v>
      </c>
      <c r="AI24" s="17">
        <v>0</v>
      </c>
      <c r="AJ24" s="17">
        <v>0</v>
      </c>
      <c r="AK24" s="17">
        <v>0</v>
      </c>
      <c r="AL24" s="17">
        <v>0</v>
      </c>
      <c r="AM24" s="17">
        <v>0</v>
      </c>
      <c r="AN24" s="17">
        <v>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0</v>
      </c>
      <c r="BL24" s="17">
        <v>0</v>
      </c>
      <c r="BM24" s="17">
        <v>0</v>
      </c>
      <c r="BN24" s="17">
        <v>0</v>
      </c>
      <c r="BO24" s="17">
        <v>0</v>
      </c>
      <c r="BP24" s="17">
        <v>0</v>
      </c>
      <c r="BQ24" s="17">
        <v>0</v>
      </c>
      <c r="BR24" s="17">
        <v>0</v>
      </c>
      <c r="BS24" s="17">
        <v>0</v>
      </c>
      <c r="BT24" s="17">
        <v>0</v>
      </c>
      <c r="BU24" s="17">
        <v>0</v>
      </c>
      <c r="BV24" s="17">
        <v>0</v>
      </c>
      <c r="BW24" s="17">
        <v>0</v>
      </c>
      <c r="BX24" s="17">
        <v>0</v>
      </c>
      <c r="BY24" s="17">
        <v>0</v>
      </c>
      <c r="BZ24" s="17">
        <v>0</v>
      </c>
      <c r="CA24" s="17">
        <v>0</v>
      </c>
      <c r="CB24" s="17">
        <v>0</v>
      </c>
      <c r="CC24" s="17">
        <v>0</v>
      </c>
      <c r="CD24" s="17">
        <v>0</v>
      </c>
      <c r="CE24" s="17">
        <v>0</v>
      </c>
      <c r="CF24" s="5">
        <f t="shared" si="9"/>
        <v>0</v>
      </c>
      <c r="CG24" s="5">
        <f t="shared" si="10"/>
        <v>0</v>
      </c>
      <c r="CH24" s="5">
        <f t="shared" si="11"/>
        <v>0</v>
      </c>
      <c r="CV24" s="2">
        <v>3</v>
      </c>
      <c r="CW24" s="36" t="s">
        <v>20</v>
      </c>
      <c r="CX24" s="2" t="s">
        <v>21</v>
      </c>
      <c r="CY24" s="2" t="s">
        <v>22</v>
      </c>
    </row>
    <row r="25" spans="1:103" s="2" customFormat="1" ht="12.75" outlineLevel="1" x14ac:dyDescent="0.2">
      <c r="A25" s="93"/>
      <c r="B25" s="92">
        <v>10</v>
      </c>
      <c r="C25" s="17">
        <v>0</v>
      </c>
      <c r="D25" s="17">
        <v>0</v>
      </c>
      <c r="E25" s="17">
        <v>0</v>
      </c>
      <c r="F25" s="17">
        <v>0</v>
      </c>
      <c r="G25" s="17">
        <v>0</v>
      </c>
      <c r="H25" s="17">
        <v>0</v>
      </c>
      <c r="I25" s="17">
        <v>0</v>
      </c>
      <c r="J25" s="17">
        <v>0</v>
      </c>
      <c r="K25" s="17">
        <v>0</v>
      </c>
      <c r="L25" s="17">
        <v>0</v>
      </c>
      <c r="M25" s="17">
        <v>0</v>
      </c>
      <c r="N25" s="17">
        <v>0</v>
      </c>
      <c r="O25" s="17">
        <v>0</v>
      </c>
      <c r="P25" s="17">
        <v>0</v>
      </c>
      <c r="Q25" s="17">
        <v>0</v>
      </c>
      <c r="R25" s="17">
        <v>0</v>
      </c>
      <c r="S25" s="17">
        <v>0</v>
      </c>
      <c r="T25" s="17">
        <v>0</v>
      </c>
      <c r="U25" s="17">
        <v>0</v>
      </c>
      <c r="V25" s="17">
        <v>0</v>
      </c>
      <c r="W25" s="17">
        <v>0</v>
      </c>
      <c r="X25" s="17">
        <v>0</v>
      </c>
      <c r="Y25" s="17">
        <v>0</v>
      </c>
      <c r="Z25" s="17">
        <v>0</v>
      </c>
      <c r="AA25" s="17">
        <v>0</v>
      </c>
      <c r="AB25" s="17">
        <v>0</v>
      </c>
      <c r="AC25" s="17">
        <v>0</v>
      </c>
      <c r="AD25" s="17">
        <v>0</v>
      </c>
      <c r="AE25" s="17">
        <v>0</v>
      </c>
      <c r="AF25" s="17">
        <v>0</v>
      </c>
      <c r="AG25" s="17">
        <v>0</v>
      </c>
      <c r="AH25" s="17">
        <v>0</v>
      </c>
      <c r="AI25" s="17">
        <v>0</v>
      </c>
      <c r="AJ25" s="17">
        <v>0</v>
      </c>
      <c r="AK25" s="17">
        <v>0</v>
      </c>
      <c r="AL25" s="17">
        <v>0</v>
      </c>
      <c r="AM25" s="17">
        <v>0</v>
      </c>
      <c r="AN25" s="17">
        <v>0</v>
      </c>
      <c r="AO25" s="17">
        <v>0</v>
      </c>
      <c r="AP25" s="17">
        <v>0</v>
      </c>
      <c r="AQ25" s="17">
        <v>0</v>
      </c>
      <c r="AR25" s="17">
        <v>0</v>
      </c>
      <c r="AS25" s="17">
        <v>0</v>
      </c>
      <c r="AT25" s="17">
        <v>0</v>
      </c>
      <c r="AU25" s="17">
        <v>0</v>
      </c>
      <c r="AV25" s="17">
        <v>0</v>
      </c>
      <c r="AW25" s="17">
        <v>0</v>
      </c>
      <c r="AX25" s="17">
        <v>0</v>
      </c>
      <c r="AY25" s="17">
        <v>0</v>
      </c>
      <c r="AZ25" s="17">
        <v>0</v>
      </c>
      <c r="BA25" s="17">
        <v>0</v>
      </c>
      <c r="BB25" s="17">
        <v>0</v>
      </c>
      <c r="BC25" s="17">
        <v>0</v>
      </c>
      <c r="BD25" s="17">
        <v>0</v>
      </c>
      <c r="BE25" s="17">
        <v>0</v>
      </c>
      <c r="BF25" s="17">
        <v>0</v>
      </c>
      <c r="BG25" s="17">
        <v>0</v>
      </c>
      <c r="BH25" s="17">
        <v>0</v>
      </c>
      <c r="BI25" s="17">
        <v>0</v>
      </c>
      <c r="BJ25" s="17">
        <v>0</v>
      </c>
      <c r="BK25" s="17">
        <v>0</v>
      </c>
      <c r="BL25" s="17">
        <v>0</v>
      </c>
      <c r="BM25" s="17">
        <v>0</v>
      </c>
      <c r="BN25" s="17">
        <v>0</v>
      </c>
      <c r="BO25" s="17">
        <v>0</v>
      </c>
      <c r="BP25" s="17">
        <v>0</v>
      </c>
      <c r="BQ25" s="17">
        <v>0</v>
      </c>
      <c r="BR25" s="17">
        <v>0</v>
      </c>
      <c r="BS25" s="17">
        <v>0</v>
      </c>
      <c r="BT25" s="17">
        <v>0</v>
      </c>
      <c r="BU25" s="17">
        <v>0</v>
      </c>
      <c r="BV25" s="17">
        <v>0</v>
      </c>
      <c r="BW25" s="17">
        <v>0</v>
      </c>
      <c r="BX25" s="17">
        <v>0</v>
      </c>
      <c r="BY25" s="17">
        <v>0</v>
      </c>
      <c r="BZ25" s="17">
        <v>0</v>
      </c>
      <c r="CA25" s="17">
        <v>0</v>
      </c>
      <c r="CB25" s="17">
        <v>0</v>
      </c>
      <c r="CC25" s="17">
        <v>0</v>
      </c>
      <c r="CD25" s="17">
        <v>0</v>
      </c>
      <c r="CE25" s="17">
        <v>0</v>
      </c>
      <c r="CF25" s="5">
        <f t="shared" si="9"/>
        <v>0</v>
      </c>
      <c r="CG25" s="5">
        <f t="shared" si="10"/>
        <v>0</v>
      </c>
      <c r="CH25" s="5">
        <f t="shared" si="11"/>
        <v>0</v>
      </c>
      <c r="CW25" s="36"/>
    </row>
    <row r="26" spans="1:103" s="2" customFormat="1" ht="12.75" outlineLevel="1" x14ac:dyDescent="0.2">
      <c r="A26" s="93"/>
      <c r="B26" s="92">
        <v>11</v>
      </c>
      <c r="C26" s="17">
        <v>0</v>
      </c>
      <c r="D26" s="17">
        <v>0</v>
      </c>
      <c r="E26" s="17">
        <v>0</v>
      </c>
      <c r="F26" s="17">
        <v>0</v>
      </c>
      <c r="G26" s="17">
        <v>0</v>
      </c>
      <c r="H26" s="17">
        <v>0</v>
      </c>
      <c r="I26" s="17">
        <v>0</v>
      </c>
      <c r="J26" s="17">
        <v>0</v>
      </c>
      <c r="K26" s="17">
        <v>0</v>
      </c>
      <c r="L26" s="17">
        <v>0</v>
      </c>
      <c r="M26" s="17">
        <v>0</v>
      </c>
      <c r="N26" s="17">
        <v>0</v>
      </c>
      <c r="O26" s="17">
        <v>0</v>
      </c>
      <c r="P26" s="17">
        <v>0</v>
      </c>
      <c r="Q26" s="17">
        <v>0</v>
      </c>
      <c r="R26" s="17">
        <v>0</v>
      </c>
      <c r="S26" s="17">
        <v>0</v>
      </c>
      <c r="T26" s="17">
        <v>0</v>
      </c>
      <c r="U26" s="17">
        <v>0</v>
      </c>
      <c r="V26" s="17">
        <v>0</v>
      </c>
      <c r="W26" s="17">
        <v>0</v>
      </c>
      <c r="X26" s="17">
        <v>0</v>
      </c>
      <c r="Y26" s="17">
        <v>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0</v>
      </c>
      <c r="BA26" s="17">
        <v>0</v>
      </c>
      <c r="BB26" s="17">
        <v>0</v>
      </c>
      <c r="BC26" s="17">
        <v>0</v>
      </c>
      <c r="BD26" s="17">
        <v>0</v>
      </c>
      <c r="BE26" s="17">
        <v>0</v>
      </c>
      <c r="BF26" s="17">
        <v>0</v>
      </c>
      <c r="BG26" s="17">
        <v>0</v>
      </c>
      <c r="BH26" s="17">
        <v>0</v>
      </c>
      <c r="BI26" s="17">
        <v>0</v>
      </c>
      <c r="BJ26" s="17">
        <v>0</v>
      </c>
      <c r="BK26" s="17">
        <v>0</v>
      </c>
      <c r="BL26" s="17">
        <v>0</v>
      </c>
      <c r="BM26" s="17">
        <v>0</v>
      </c>
      <c r="BN26" s="17">
        <v>0</v>
      </c>
      <c r="BO26" s="17">
        <v>0</v>
      </c>
      <c r="BP26" s="17">
        <v>0</v>
      </c>
      <c r="BQ26" s="17">
        <v>0</v>
      </c>
      <c r="BR26" s="17">
        <v>0</v>
      </c>
      <c r="BS26" s="17">
        <v>0</v>
      </c>
      <c r="BT26" s="17">
        <v>0</v>
      </c>
      <c r="BU26" s="17">
        <v>0</v>
      </c>
      <c r="BV26" s="17">
        <v>0</v>
      </c>
      <c r="BW26" s="17">
        <v>0</v>
      </c>
      <c r="BX26" s="17">
        <v>0</v>
      </c>
      <c r="BY26" s="17">
        <v>0</v>
      </c>
      <c r="BZ26" s="17">
        <v>0</v>
      </c>
      <c r="CA26" s="17">
        <v>0</v>
      </c>
      <c r="CB26" s="17">
        <v>0</v>
      </c>
      <c r="CC26" s="17">
        <v>0</v>
      </c>
      <c r="CD26" s="17">
        <v>0</v>
      </c>
      <c r="CE26" s="17">
        <v>0</v>
      </c>
      <c r="CF26" s="5">
        <f t="shared" si="9"/>
        <v>0</v>
      </c>
      <c r="CG26" s="5">
        <f t="shared" si="10"/>
        <v>0</v>
      </c>
      <c r="CH26" s="5">
        <f t="shared" si="11"/>
        <v>0</v>
      </c>
      <c r="CW26" s="36"/>
    </row>
    <row r="27" spans="1:103" s="2" customFormat="1" ht="14.25" customHeight="1" x14ac:dyDescent="0.2">
      <c r="A27" s="94"/>
      <c r="B27" s="20" t="s">
        <v>3</v>
      </c>
      <c r="C27" s="21">
        <f t="shared" ref="C27:AH27" si="61">AVERAGE(C16:C26)</f>
        <v>0</v>
      </c>
      <c r="D27" s="21">
        <f t="shared" si="61"/>
        <v>0</v>
      </c>
      <c r="E27" s="21">
        <f t="shared" si="61"/>
        <v>0</v>
      </c>
      <c r="F27" s="21">
        <f t="shared" si="61"/>
        <v>0</v>
      </c>
      <c r="G27" s="21">
        <f t="shared" si="61"/>
        <v>0</v>
      </c>
      <c r="H27" s="21">
        <f t="shared" si="61"/>
        <v>0</v>
      </c>
      <c r="I27" s="21">
        <f t="shared" si="61"/>
        <v>0</v>
      </c>
      <c r="J27" s="21">
        <f t="shared" si="61"/>
        <v>0</v>
      </c>
      <c r="K27" s="21">
        <f t="shared" si="61"/>
        <v>0</v>
      </c>
      <c r="L27" s="21">
        <f t="shared" si="61"/>
        <v>0</v>
      </c>
      <c r="M27" s="21">
        <f t="shared" si="61"/>
        <v>0</v>
      </c>
      <c r="N27" s="21">
        <f t="shared" si="61"/>
        <v>0</v>
      </c>
      <c r="O27" s="21">
        <f t="shared" si="61"/>
        <v>0</v>
      </c>
      <c r="P27" s="21">
        <f t="shared" si="61"/>
        <v>0</v>
      </c>
      <c r="Q27" s="21">
        <f t="shared" si="61"/>
        <v>0</v>
      </c>
      <c r="R27" s="21">
        <f t="shared" si="61"/>
        <v>0</v>
      </c>
      <c r="S27" s="21">
        <f t="shared" si="61"/>
        <v>0</v>
      </c>
      <c r="T27" s="21">
        <f t="shared" si="61"/>
        <v>0</v>
      </c>
      <c r="U27" s="21">
        <f t="shared" si="61"/>
        <v>0</v>
      </c>
      <c r="V27" s="21">
        <f t="shared" si="61"/>
        <v>0</v>
      </c>
      <c r="W27" s="21">
        <f t="shared" si="61"/>
        <v>0</v>
      </c>
      <c r="X27" s="21">
        <f t="shared" si="61"/>
        <v>0</v>
      </c>
      <c r="Y27" s="21">
        <f t="shared" si="61"/>
        <v>0</v>
      </c>
      <c r="Z27" s="21">
        <f t="shared" si="61"/>
        <v>0</v>
      </c>
      <c r="AA27" s="21">
        <f t="shared" si="61"/>
        <v>0</v>
      </c>
      <c r="AB27" s="21">
        <f t="shared" si="61"/>
        <v>0</v>
      </c>
      <c r="AC27" s="21">
        <f t="shared" si="61"/>
        <v>0</v>
      </c>
      <c r="AD27" s="21">
        <f t="shared" si="61"/>
        <v>0</v>
      </c>
      <c r="AE27" s="21">
        <f t="shared" si="61"/>
        <v>0</v>
      </c>
      <c r="AF27" s="21">
        <f t="shared" si="61"/>
        <v>0</v>
      </c>
      <c r="AG27" s="31">
        <f t="shared" si="61"/>
        <v>0</v>
      </c>
      <c r="AH27" s="21">
        <f t="shared" si="61"/>
        <v>0</v>
      </c>
      <c r="AI27" s="21">
        <f t="shared" ref="AI27:BN27" si="62">AVERAGE(AI16:AI26)</f>
        <v>0</v>
      </c>
      <c r="AJ27" s="21">
        <f t="shared" si="62"/>
        <v>0</v>
      </c>
      <c r="AK27" s="21">
        <f t="shared" si="62"/>
        <v>0</v>
      </c>
      <c r="AL27" s="21">
        <f t="shared" si="62"/>
        <v>0</v>
      </c>
      <c r="AM27" s="21">
        <f t="shared" si="62"/>
        <v>0</v>
      </c>
      <c r="AN27" s="21">
        <f t="shared" si="62"/>
        <v>0</v>
      </c>
      <c r="AO27" s="21">
        <f t="shared" si="62"/>
        <v>0</v>
      </c>
      <c r="AP27" s="21">
        <f t="shared" si="62"/>
        <v>0</v>
      </c>
      <c r="AQ27" s="21">
        <f t="shared" si="62"/>
        <v>0</v>
      </c>
      <c r="AR27" s="21">
        <f t="shared" si="62"/>
        <v>0</v>
      </c>
      <c r="AS27" s="21">
        <f t="shared" si="62"/>
        <v>0</v>
      </c>
      <c r="AT27" s="21">
        <f t="shared" si="62"/>
        <v>0</v>
      </c>
      <c r="AU27" s="21">
        <f t="shared" si="62"/>
        <v>0</v>
      </c>
      <c r="AV27" s="21">
        <f t="shared" si="62"/>
        <v>0</v>
      </c>
      <c r="AW27" s="21">
        <f t="shared" si="62"/>
        <v>0</v>
      </c>
      <c r="AX27" s="21">
        <f t="shared" si="62"/>
        <v>0</v>
      </c>
      <c r="AY27" s="21">
        <f t="shared" si="62"/>
        <v>0</v>
      </c>
      <c r="AZ27" s="21">
        <f t="shared" si="62"/>
        <v>0</v>
      </c>
      <c r="BA27" s="21">
        <f t="shared" si="62"/>
        <v>0</v>
      </c>
      <c r="BB27" s="21">
        <f t="shared" si="62"/>
        <v>0</v>
      </c>
      <c r="BC27" s="21">
        <f t="shared" si="62"/>
        <v>0</v>
      </c>
      <c r="BD27" s="21">
        <f t="shared" si="62"/>
        <v>0</v>
      </c>
      <c r="BE27" s="21">
        <f t="shared" si="62"/>
        <v>0</v>
      </c>
      <c r="BF27" s="21">
        <f t="shared" si="62"/>
        <v>0</v>
      </c>
      <c r="BG27" s="21">
        <f t="shared" si="62"/>
        <v>0</v>
      </c>
      <c r="BH27" s="21">
        <f t="shared" ref="BH27:BJ27" si="63">AVERAGE(BH16:BH26)</f>
        <v>0</v>
      </c>
      <c r="BI27" s="21">
        <f t="shared" si="63"/>
        <v>0</v>
      </c>
      <c r="BJ27" s="21">
        <f t="shared" si="63"/>
        <v>0</v>
      </c>
      <c r="BK27" s="21">
        <f t="shared" si="62"/>
        <v>0</v>
      </c>
      <c r="BL27" s="21">
        <f t="shared" si="62"/>
        <v>0</v>
      </c>
      <c r="BM27" s="21">
        <f t="shared" si="62"/>
        <v>0</v>
      </c>
      <c r="BN27" s="21">
        <f t="shared" si="62"/>
        <v>0</v>
      </c>
      <c r="BO27" s="21">
        <f t="shared" ref="BO27:CE27" si="64">AVERAGE(BO16:BO26)</f>
        <v>0</v>
      </c>
      <c r="BP27" s="21">
        <f t="shared" si="64"/>
        <v>0</v>
      </c>
      <c r="BQ27" s="98">
        <f t="shared" si="64"/>
        <v>0</v>
      </c>
      <c r="BR27" s="98">
        <f t="shared" si="64"/>
        <v>0</v>
      </c>
      <c r="BS27" s="98">
        <f t="shared" si="64"/>
        <v>0</v>
      </c>
      <c r="BT27" s="21">
        <f t="shared" si="64"/>
        <v>0</v>
      </c>
      <c r="BU27" s="21">
        <f t="shared" si="64"/>
        <v>0</v>
      </c>
      <c r="BV27" s="21">
        <f t="shared" si="64"/>
        <v>0</v>
      </c>
      <c r="BW27" s="21">
        <f t="shared" si="64"/>
        <v>0</v>
      </c>
      <c r="BX27" s="21">
        <f t="shared" si="64"/>
        <v>0</v>
      </c>
      <c r="BY27" s="21">
        <f t="shared" si="64"/>
        <v>0</v>
      </c>
      <c r="BZ27" s="21">
        <f t="shared" si="64"/>
        <v>0</v>
      </c>
      <c r="CA27" s="21">
        <f t="shared" si="64"/>
        <v>0</v>
      </c>
      <c r="CB27" s="21">
        <f t="shared" si="64"/>
        <v>0</v>
      </c>
      <c r="CC27" s="21">
        <f t="shared" si="64"/>
        <v>0</v>
      </c>
      <c r="CD27" s="21">
        <f t="shared" si="64"/>
        <v>0</v>
      </c>
      <c r="CE27" s="21">
        <f t="shared" si="64"/>
        <v>0</v>
      </c>
      <c r="CF27" s="7">
        <f t="shared" si="9"/>
        <v>0</v>
      </c>
      <c r="CG27" s="7">
        <f t="shared" si="10"/>
        <v>0</v>
      </c>
      <c r="CH27" s="7">
        <f t="shared" si="11"/>
        <v>0</v>
      </c>
      <c r="CI27" s="2">
        <v>2</v>
      </c>
      <c r="CJ27" s="65">
        <f>AVERAGE(CH16:CH26)</f>
        <v>0</v>
      </c>
      <c r="CV27" s="2">
        <v>6</v>
      </c>
      <c r="CW27" s="36" t="s">
        <v>24</v>
      </c>
      <c r="CX27" s="2" t="s">
        <v>25</v>
      </c>
      <c r="CY27" s="2" t="s">
        <v>26</v>
      </c>
    </row>
    <row r="28" spans="1:103" s="2" customFormat="1" ht="12.75" outlineLevel="1" x14ac:dyDescent="0.2">
      <c r="A28" s="93" t="s">
        <v>83</v>
      </c>
      <c r="B28" s="92">
        <v>1</v>
      </c>
      <c r="C28" s="17">
        <v>0</v>
      </c>
      <c r="D28" s="17">
        <v>0</v>
      </c>
      <c r="E28" s="17">
        <v>0</v>
      </c>
      <c r="F28" s="17">
        <v>0</v>
      </c>
      <c r="G28" s="17">
        <v>0</v>
      </c>
      <c r="H28" s="17">
        <v>0</v>
      </c>
      <c r="I28" s="17">
        <v>0</v>
      </c>
      <c r="J28" s="17">
        <v>0</v>
      </c>
      <c r="K28" s="17">
        <v>0</v>
      </c>
      <c r="L28" s="17">
        <v>0</v>
      </c>
      <c r="M28" s="17">
        <v>0</v>
      </c>
      <c r="N28" s="17">
        <v>0</v>
      </c>
      <c r="O28" s="17">
        <v>0</v>
      </c>
      <c r="P28" s="17">
        <v>0</v>
      </c>
      <c r="Q28" s="17">
        <v>0</v>
      </c>
      <c r="R28" s="17">
        <v>0</v>
      </c>
      <c r="S28" s="17">
        <v>0</v>
      </c>
      <c r="T28" s="17">
        <v>0</v>
      </c>
      <c r="U28" s="17">
        <v>0</v>
      </c>
      <c r="V28" s="17">
        <v>0</v>
      </c>
      <c r="W28" s="17">
        <v>0</v>
      </c>
      <c r="X28" s="17">
        <v>0</v>
      </c>
      <c r="Y28" s="17">
        <v>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0</v>
      </c>
      <c r="AT28" s="17">
        <v>0</v>
      </c>
      <c r="AU28" s="17">
        <v>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0</v>
      </c>
      <c r="BQ28" s="17">
        <v>0</v>
      </c>
      <c r="BR28" s="17">
        <v>0</v>
      </c>
      <c r="BS28" s="17">
        <v>0</v>
      </c>
      <c r="BT28" s="17">
        <v>0</v>
      </c>
      <c r="BU28" s="17">
        <v>0</v>
      </c>
      <c r="BV28" s="17">
        <v>0</v>
      </c>
      <c r="BW28" s="17">
        <v>0</v>
      </c>
      <c r="BX28" s="17">
        <v>0</v>
      </c>
      <c r="BY28" s="17">
        <v>0</v>
      </c>
      <c r="BZ28" s="17">
        <v>0</v>
      </c>
      <c r="CA28" s="17">
        <v>0</v>
      </c>
      <c r="CB28" s="17">
        <v>0</v>
      </c>
      <c r="CC28" s="17">
        <v>0</v>
      </c>
      <c r="CD28" s="17">
        <v>0</v>
      </c>
      <c r="CE28" s="17">
        <v>0</v>
      </c>
      <c r="CF28" s="5">
        <f t="shared" si="9"/>
        <v>0</v>
      </c>
      <c r="CG28" s="5">
        <f t="shared" si="10"/>
        <v>0</v>
      </c>
      <c r="CH28" s="5">
        <f t="shared" si="11"/>
        <v>0</v>
      </c>
      <c r="CV28" s="2">
        <v>7</v>
      </c>
      <c r="CW28" s="36" t="s">
        <v>27</v>
      </c>
      <c r="CX28" s="2" t="s">
        <v>15</v>
      </c>
      <c r="CY28" s="2" t="s">
        <v>28</v>
      </c>
    </row>
    <row r="29" spans="1:103" s="2" customFormat="1" ht="12.75" outlineLevel="1" x14ac:dyDescent="0.2">
      <c r="A29" s="93"/>
      <c r="B29" s="92">
        <v>2</v>
      </c>
      <c r="C29" s="17">
        <v>0</v>
      </c>
      <c r="D29" s="17">
        <v>0</v>
      </c>
      <c r="E29" s="17">
        <v>0</v>
      </c>
      <c r="F29" s="17">
        <v>0</v>
      </c>
      <c r="G29" s="17">
        <v>0</v>
      </c>
      <c r="H29" s="17">
        <v>0</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0</v>
      </c>
      <c r="AK29" s="17">
        <v>0</v>
      </c>
      <c r="AL29" s="17">
        <v>0</v>
      </c>
      <c r="AM29" s="17">
        <v>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c r="BM29" s="17">
        <v>0</v>
      </c>
      <c r="BN29" s="17">
        <v>0</v>
      </c>
      <c r="BO29" s="17">
        <v>0</v>
      </c>
      <c r="BP29" s="17">
        <v>0</v>
      </c>
      <c r="BQ29" s="17">
        <v>0</v>
      </c>
      <c r="BR29" s="17">
        <v>0</v>
      </c>
      <c r="BS29" s="17">
        <v>0</v>
      </c>
      <c r="BT29" s="17">
        <v>0</v>
      </c>
      <c r="BU29" s="17">
        <v>0</v>
      </c>
      <c r="BV29" s="17">
        <v>0</v>
      </c>
      <c r="BW29" s="17">
        <v>0</v>
      </c>
      <c r="BX29" s="17">
        <v>0</v>
      </c>
      <c r="BY29" s="17">
        <v>0</v>
      </c>
      <c r="BZ29" s="17">
        <v>0</v>
      </c>
      <c r="CA29" s="17">
        <v>0</v>
      </c>
      <c r="CB29" s="17">
        <v>0</v>
      </c>
      <c r="CC29" s="17">
        <v>0</v>
      </c>
      <c r="CD29" s="17">
        <v>0</v>
      </c>
      <c r="CE29" s="17">
        <v>0</v>
      </c>
      <c r="CF29" s="5">
        <f t="shared" ref="CF29:CF33" si="65">AVERAGE(C29,F29,I29,L29,O29,R29,U29,X29,AA29,AD29,AG29,AJ29,AM29,AP29,AS29,AV29,AY29,BB29,BE29,BH29,BK29,BN29,BQ29,BT29,BW29,BZ29,CC29)</f>
        <v>0</v>
      </c>
      <c r="CG29" s="5">
        <f t="shared" ref="CG29:CG33" si="66">AVERAGE(D29,G29,J29,M29,P29,S29,V29,Y29,AB29,AE29,AH29,AK29,AN29,AQ29,AT29,AW29,AZ29,BC29,BF29,BI29,BL29,BO29,BR29,BU29,BX29,CA29,CD29)</f>
        <v>0</v>
      </c>
      <c r="CH29" s="5">
        <f t="shared" ref="CH29:CH33" si="67">AVERAGE(E29,H29,K29,N29,Q29,T29,W29,Z29,AC29,AF29,AI29,AL29,AO29,AR29,AU29,AX29,BA29,BD29,BG29,BJ29,BM29,BP29,BS29,BV29,BY29,CB29,CE29)</f>
        <v>0</v>
      </c>
      <c r="CW29" s="36"/>
    </row>
    <row r="30" spans="1:103" s="2" customFormat="1" ht="12.75" outlineLevel="1" x14ac:dyDescent="0.2">
      <c r="A30" s="93"/>
      <c r="B30" s="92">
        <v>3</v>
      </c>
      <c r="C30" s="17">
        <v>0</v>
      </c>
      <c r="D30" s="17">
        <v>0</v>
      </c>
      <c r="E30" s="17">
        <v>0</v>
      </c>
      <c r="F30" s="17">
        <v>0</v>
      </c>
      <c r="G30" s="17">
        <v>0</v>
      </c>
      <c r="H30" s="17">
        <v>0</v>
      </c>
      <c r="I30" s="17">
        <v>0</v>
      </c>
      <c r="J30" s="17">
        <v>0</v>
      </c>
      <c r="K30" s="17">
        <v>0</v>
      </c>
      <c r="L30" s="17">
        <v>0</v>
      </c>
      <c r="M30" s="17">
        <v>0</v>
      </c>
      <c r="N30" s="17">
        <v>0</v>
      </c>
      <c r="O30" s="17">
        <v>0</v>
      </c>
      <c r="P30" s="17">
        <v>0</v>
      </c>
      <c r="Q30" s="17">
        <v>0</v>
      </c>
      <c r="R30" s="17">
        <v>0</v>
      </c>
      <c r="S30" s="17">
        <v>0</v>
      </c>
      <c r="T30" s="17">
        <v>0</v>
      </c>
      <c r="U30" s="17">
        <v>0</v>
      </c>
      <c r="V30" s="17">
        <v>0</v>
      </c>
      <c r="W30" s="17">
        <v>0</v>
      </c>
      <c r="X30" s="17">
        <v>0</v>
      </c>
      <c r="Y30" s="17">
        <v>0</v>
      </c>
      <c r="Z30" s="17">
        <v>0</v>
      </c>
      <c r="AA30" s="17">
        <v>0</v>
      </c>
      <c r="AB30" s="17">
        <v>0</v>
      </c>
      <c r="AC30" s="17">
        <v>0</v>
      </c>
      <c r="AD30" s="17">
        <v>0</v>
      </c>
      <c r="AE30" s="17">
        <v>0</v>
      </c>
      <c r="AF30" s="17">
        <v>0</v>
      </c>
      <c r="AG30" s="17">
        <v>0</v>
      </c>
      <c r="AH30" s="17">
        <v>0</v>
      </c>
      <c r="AI30" s="17">
        <v>0</v>
      </c>
      <c r="AJ30" s="17">
        <v>0</v>
      </c>
      <c r="AK30" s="17">
        <v>0</v>
      </c>
      <c r="AL30" s="17">
        <v>0</v>
      </c>
      <c r="AM30" s="17">
        <v>0</v>
      </c>
      <c r="AN30" s="17">
        <v>0</v>
      </c>
      <c r="AO30" s="17">
        <v>0</v>
      </c>
      <c r="AP30" s="17">
        <v>0</v>
      </c>
      <c r="AQ30" s="17">
        <v>0</v>
      </c>
      <c r="AR30" s="17">
        <v>0</v>
      </c>
      <c r="AS30" s="17">
        <v>0</v>
      </c>
      <c r="AT30" s="17">
        <v>0</v>
      </c>
      <c r="AU30" s="17">
        <v>0</v>
      </c>
      <c r="AV30" s="17">
        <v>0</v>
      </c>
      <c r="AW30" s="17">
        <v>0</v>
      </c>
      <c r="AX30" s="17">
        <v>0</v>
      </c>
      <c r="AY30" s="17">
        <v>0</v>
      </c>
      <c r="AZ30" s="17">
        <v>0</v>
      </c>
      <c r="BA30" s="17">
        <v>0</v>
      </c>
      <c r="BB30" s="17">
        <v>0</v>
      </c>
      <c r="BC30" s="17">
        <v>0</v>
      </c>
      <c r="BD30" s="17">
        <v>0</v>
      </c>
      <c r="BE30" s="17">
        <v>0</v>
      </c>
      <c r="BF30" s="17">
        <v>0</v>
      </c>
      <c r="BG30" s="17">
        <v>0</v>
      </c>
      <c r="BH30" s="17">
        <v>0</v>
      </c>
      <c r="BI30" s="17">
        <v>0</v>
      </c>
      <c r="BJ30" s="17">
        <v>0</v>
      </c>
      <c r="BK30" s="17">
        <v>0</v>
      </c>
      <c r="BL30" s="17">
        <v>0</v>
      </c>
      <c r="BM30" s="17">
        <v>0</v>
      </c>
      <c r="BN30" s="17">
        <v>0</v>
      </c>
      <c r="BO30" s="17">
        <v>0</v>
      </c>
      <c r="BP30" s="17">
        <v>0</v>
      </c>
      <c r="BQ30" s="17">
        <v>0</v>
      </c>
      <c r="BR30" s="17">
        <v>0</v>
      </c>
      <c r="BS30" s="17">
        <v>0</v>
      </c>
      <c r="BT30" s="17">
        <v>0</v>
      </c>
      <c r="BU30" s="17">
        <v>0</v>
      </c>
      <c r="BV30" s="17">
        <v>0</v>
      </c>
      <c r="BW30" s="17">
        <v>0</v>
      </c>
      <c r="BX30" s="17">
        <v>0</v>
      </c>
      <c r="BY30" s="17">
        <v>0</v>
      </c>
      <c r="BZ30" s="17">
        <v>0</v>
      </c>
      <c r="CA30" s="17">
        <v>0</v>
      </c>
      <c r="CB30" s="17">
        <v>0</v>
      </c>
      <c r="CC30" s="17">
        <v>0</v>
      </c>
      <c r="CD30" s="17">
        <v>0</v>
      </c>
      <c r="CE30" s="17">
        <v>0</v>
      </c>
      <c r="CF30" s="5">
        <f t="shared" si="65"/>
        <v>0</v>
      </c>
      <c r="CG30" s="5">
        <f t="shared" si="66"/>
        <v>0</v>
      </c>
      <c r="CH30" s="5">
        <f t="shared" si="67"/>
        <v>0</v>
      </c>
      <c r="CW30" s="36"/>
    </row>
    <row r="31" spans="1:103" s="2" customFormat="1" ht="12.75" outlineLevel="1" x14ac:dyDescent="0.2">
      <c r="A31" s="93"/>
      <c r="B31" s="92">
        <v>4</v>
      </c>
      <c r="C31" s="17">
        <v>0</v>
      </c>
      <c r="D31" s="17">
        <v>0</v>
      </c>
      <c r="E31" s="17">
        <v>0</v>
      </c>
      <c r="F31" s="17">
        <v>0</v>
      </c>
      <c r="G31" s="17">
        <v>0</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0</v>
      </c>
      <c r="AW31" s="17">
        <v>0</v>
      </c>
      <c r="AX31" s="17">
        <v>0</v>
      </c>
      <c r="AY31" s="17">
        <v>0</v>
      </c>
      <c r="AZ31" s="17">
        <v>0</v>
      </c>
      <c r="BA31" s="17">
        <v>0</v>
      </c>
      <c r="BB31" s="17">
        <v>0</v>
      </c>
      <c r="BC31" s="17">
        <v>0</v>
      </c>
      <c r="BD31" s="17">
        <v>0</v>
      </c>
      <c r="BE31" s="17">
        <v>0</v>
      </c>
      <c r="BF31" s="17">
        <v>0</v>
      </c>
      <c r="BG31" s="17">
        <v>0</v>
      </c>
      <c r="BH31" s="17">
        <v>0</v>
      </c>
      <c r="BI31" s="17">
        <v>0</v>
      </c>
      <c r="BJ31" s="17">
        <v>0</v>
      </c>
      <c r="BK31" s="17">
        <v>0</v>
      </c>
      <c r="BL31" s="17">
        <v>0</v>
      </c>
      <c r="BM31" s="17">
        <v>0</v>
      </c>
      <c r="BN31" s="17">
        <v>0</v>
      </c>
      <c r="BO31" s="17">
        <v>0</v>
      </c>
      <c r="BP31" s="17">
        <v>0</v>
      </c>
      <c r="BQ31" s="17">
        <v>0</v>
      </c>
      <c r="BR31" s="17">
        <v>0</v>
      </c>
      <c r="BS31" s="17">
        <v>0</v>
      </c>
      <c r="BT31" s="17">
        <v>0</v>
      </c>
      <c r="BU31" s="17">
        <v>0</v>
      </c>
      <c r="BV31" s="17">
        <v>0</v>
      </c>
      <c r="BW31" s="17">
        <v>0</v>
      </c>
      <c r="BX31" s="17">
        <v>0</v>
      </c>
      <c r="BY31" s="17">
        <v>0</v>
      </c>
      <c r="BZ31" s="17">
        <v>0</v>
      </c>
      <c r="CA31" s="17">
        <v>0</v>
      </c>
      <c r="CB31" s="17">
        <v>0</v>
      </c>
      <c r="CC31" s="17">
        <v>0</v>
      </c>
      <c r="CD31" s="17">
        <v>0</v>
      </c>
      <c r="CE31" s="17">
        <v>0</v>
      </c>
      <c r="CF31" s="5">
        <f t="shared" si="65"/>
        <v>0</v>
      </c>
      <c r="CG31" s="5">
        <f t="shared" si="66"/>
        <v>0</v>
      </c>
      <c r="CH31" s="5">
        <f t="shared" si="67"/>
        <v>0</v>
      </c>
      <c r="CW31" s="36"/>
    </row>
    <row r="32" spans="1:103" s="2" customFormat="1" ht="12.75" outlineLevel="1" x14ac:dyDescent="0.2">
      <c r="A32" s="93"/>
      <c r="B32" s="92">
        <v>5</v>
      </c>
      <c r="C32" s="17">
        <v>0</v>
      </c>
      <c r="D32" s="17">
        <v>0</v>
      </c>
      <c r="E32" s="17">
        <v>0</v>
      </c>
      <c r="F32" s="17">
        <v>0</v>
      </c>
      <c r="G32" s="17">
        <v>0</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c r="BM32" s="17">
        <v>0</v>
      </c>
      <c r="BN32" s="17">
        <v>0</v>
      </c>
      <c r="BO32" s="17">
        <v>0</v>
      </c>
      <c r="BP32" s="17">
        <v>0</v>
      </c>
      <c r="BQ32" s="17">
        <v>0</v>
      </c>
      <c r="BR32" s="17">
        <v>0</v>
      </c>
      <c r="BS32" s="17">
        <v>0</v>
      </c>
      <c r="BT32" s="17">
        <v>0</v>
      </c>
      <c r="BU32" s="17">
        <v>0</v>
      </c>
      <c r="BV32" s="17">
        <v>0</v>
      </c>
      <c r="BW32" s="17">
        <v>0</v>
      </c>
      <c r="BX32" s="17">
        <v>0</v>
      </c>
      <c r="BY32" s="17">
        <v>0</v>
      </c>
      <c r="BZ32" s="17">
        <v>0</v>
      </c>
      <c r="CA32" s="17">
        <v>0</v>
      </c>
      <c r="CB32" s="17">
        <v>0</v>
      </c>
      <c r="CC32" s="17">
        <v>0</v>
      </c>
      <c r="CD32" s="17">
        <v>0</v>
      </c>
      <c r="CE32" s="17">
        <v>0</v>
      </c>
      <c r="CF32" s="5">
        <f t="shared" si="65"/>
        <v>0</v>
      </c>
      <c r="CG32" s="5">
        <f t="shared" si="66"/>
        <v>0</v>
      </c>
      <c r="CH32" s="5">
        <f t="shared" si="67"/>
        <v>0</v>
      </c>
      <c r="CW32" s="36"/>
    </row>
    <row r="33" spans="1:103" s="2" customFormat="1" ht="12.75" outlineLevel="1" x14ac:dyDescent="0.2">
      <c r="A33" s="93"/>
      <c r="B33" s="92">
        <v>6</v>
      </c>
      <c r="C33" s="17">
        <v>0</v>
      </c>
      <c r="D33" s="17">
        <v>0</v>
      </c>
      <c r="E33" s="17">
        <v>0</v>
      </c>
      <c r="F33" s="17">
        <v>0</v>
      </c>
      <c r="G33" s="17">
        <v>0</v>
      </c>
      <c r="H33" s="17">
        <v>0</v>
      </c>
      <c r="I33" s="17">
        <v>0</v>
      </c>
      <c r="J33" s="17">
        <v>0</v>
      </c>
      <c r="K33" s="17">
        <v>0</v>
      </c>
      <c r="L33" s="17">
        <v>0</v>
      </c>
      <c r="M33" s="17">
        <v>0</v>
      </c>
      <c r="N33" s="17">
        <v>0</v>
      </c>
      <c r="O33" s="17">
        <v>0</v>
      </c>
      <c r="P33" s="17">
        <v>0</v>
      </c>
      <c r="Q33" s="17">
        <v>0</v>
      </c>
      <c r="R33" s="17">
        <v>0</v>
      </c>
      <c r="S33" s="17">
        <v>0</v>
      </c>
      <c r="T33" s="17">
        <v>0</v>
      </c>
      <c r="U33" s="17">
        <v>0</v>
      </c>
      <c r="V33" s="17">
        <v>0</v>
      </c>
      <c r="W33" s="17">
        <v>0</v>
      </c>
      <c r="X33" s="17">
        <v>0</v>
      </c>
      <c r="Y33" s="17">
        <v>0</v>
      </c>
      <c r="Z33" s="17">
        <v>0</v>
      </c>
      <c r="AA33" s="17">
        <v>0</v>
      </c>
      <c r="AB33" s="17">
        <v>0</v>
      </c>
      <c r="AC33" s="17">
        <v>0</v>
      </c>
      <c r="AD33" s="17">
        <v>0</v>
      </c>
      <c r="AE33" s="17">
        <v>0</v>
      </c>
      <c r="AF33" s="17">
        <v>0</v>
      </c>
      <c r="AG33" s="17">
        <v>0</v>
      </c>
      <c r="AH33" s="17">
        <v>0</v>
      </c>
      <c r="AI33" s="17">
        <v>0</v>
      </c>
      <c r="AJ33" s="17">
        <v>0</v>
      </c>
      <c r="AK33" s="17">
        <v>0</v>
      </c>
      <c r="AL33" s="17">
        <v>0</v>
      </c>
      <c r="AM33" s="17">
        <v>0</v>
      </c>
      <c r="AN33" s="17">
        <v>0</v>
      </c>
      <c r="AO33" s="17">
        <v>0</v>
      </c>
      <c r="AP33" s="17">
        <v>0</v>
      </c>
      <c r="AQ33" s="17">
        <v>0</v>
      </c>
      <c r="AR33" s="17">
        <v>0</v>
      </c>
      <c r="AS33" s="17">
        <v>0</v>
      </c>
      <c r="AT33" s="17">
        <v>0</v>
      </c>
      <c r="AU33" s="17">
        <v>0</v>
      </c>
      <c r="AV33" s="17">
        <v>0</v>
      </c>
      <c r="AW33" s="17">
        <v>0</v>
      </c>
      <c r="AX33" s="17">
        <v>0</v>
      </c>
      <c r="AY33" s="17">
        <v>0</v>
      </c>
      <c r="AZ33" s="17">
        <v>0</v>
      </c>
      <c r="BA33" s="17">
        <v>0</v>
      </c>
      <c r="BB33" s="17">
        <v>0</v>
      </c>
      <c r="BC33" s="17">
        <v>0</v>
      </c>
      <c r="BD33" s="17">
        <v>0</v>
      </c>
      <c r="BE33" s="17">
        <v>0</v>
      </c>
      <c r="BF33" s="17">
        <v>0</v>
      </c>
      <c r="BG33" s="17">
        <v>0</v>
      </c>
      <c r="BH33" s="17">
        <v>0</v>
      </c>
      <c r="BI33" s="17">
        <v>0</v>
      </c>
      <c r="BJ33" s="17">
        <v>0</v>
      </c>
      <c r="BK33" s="17">
        <v>0</v>
      </c>
      <c r="BL33" s="17">
        <v>0</v>
      </c>
      <c r="BM33" s="17">
        <v>0</v>
      </c>
      <c r="BN33" s="17">
        <v>0</v>
      </c>
      <c r="BO33" s="17">
        <v>0</v>
      </c>
      <c r="BP33" s="17">
        <v>0</v>
      </c>
      <c r="BQ33" s="17">
        <v>0</v>
      </c>
      <c r="BR33" s="17">
        <v>0</v>
      </c>
      <c r="BS33" s="17">
        <v>0</v>
      </c>
      <c r="BT33" s="17">
        <v>0</v>
      </c>
      <c r="BU33" s="17">
        <v>0</v>
      </c>
      <c r="BV33" s="17">
        <v>0</v>
      </c>
      <c r="BW33" s="17">
        <v>0</v>
      </c>
      <c r="BX33" s="17">
        <v>0</v>
      </c>
      <c r="BY33" s="17">
        <v>0</v>
      </c>
      <c r="BZ33" s="17">
        <v>0</v>
      </c>
      <c r="CA33" s="17">
        <v>0</v>
      </c>
      <c r="CB33" s="17">
        <v>0</v>
      </c>
      <c r="CC33" s="17">
        <v>0</v>
      </c>
      <c r="CD33" s="17">
        <v>0</v>
      </c>
      <c r="CE33" s="17">
        <v>0</v>
      </c>
      <c r="CF33" s="5">
        <f t="shared" si="65"/>
        <v>0</v>
      </c>
      <c r="CG33" s="5">
        <f t="shared" si="66"/>
        <v>0</v>
      </c>
      <c r="CH33" s="5">
        <f t="shared" si="67"/>
        <v>0</v>
      </c>
      <c r="CW33" s="36"/>
    </row>
    <row r="34" spans="1:103" s="2" customFormat="1" ht="12.75" outlineLevel="1" x14ac:dyDescent="0.2">
      <c r="A34" s="93"/>
      <c r="B34" s="92">
        <v>7</v>
      </c>
      <c r="C34" s="17">
        <v>0</v>
      </c>
      <c r="D34" s="17">
        <v>0</v>
      </c>
      <c r="E34" s="17">
        <v>0</v>
      </c>
      <c r="F34" s="17">
        <v>0</v>
      </c>
      <c r="G34" s="17">
        <v>0</v>
      </c>
      <c r="H34" s="17">
        <v>0</v>
      </c>
      <c r="I34" s="17">
        <v>0</v>
      </c>
      <c r="J34" s="17">
        <v>0</v>
      </c>
      <c r="K34" s="17">
        <v>0</v>
      </c>
      <c r="L34" s="17">
        <v>0</v>
      </c>
      <c r="M34" s="17">
        <v>0</v>
      </c>
      <c r="N34" s="17">
        <v>0</v>
      </c>
      <c r="O34" s="17">
        <v>0</v>
      </c>
      <c r="P34" s="17">
        <v>0</v>
      </c>
      <c r="Q34" s="17">
        <v>0</v>
      </c>
      <c r="R34" s="17">
        <v>0</v>
      </c>
      <c r="S34" s="17">
        <v>0</v>
      </c>
      <c r="T34" s="17">
        <v>0</v>
      </c>
      <c r="U34" s="17">
        <v>0</v>
      </c>
      <c r="V34" s="17">
        <v>0</v>
      </c>
      <c r="W34" s="17">
        <v>0</v>
      </c>
      <c r="X34" s="17">
        <v>0</v>
      </c>
      <c r="Y34" s="17">
        <v>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0</v>
      </c>
      <c r="AT34" s="17">
        <v>0</v>
      </c>
      <c r="AU34" s="17">
        <v>0</v>
      </c>
      <c r="AV34" s="17">
        <v>0</v>
      </c>
      <c r="AW34" s="17">
        <v>0</v>
      </c>
      <c r="AX34" s="17">
        <v>0</v>
      </c>
      <c r="AY34" s="17">
        <v>0</v>
      </c>
      <c r="AZ34" s="17">
        <v>0</v>
      </c>
      <c r="BA34" s="17">
        <v>0</v>
      </c>
      <c r="BB34" s="17">
        <v>0</v>
      </c>
      <c r="BC34" s="17">
        <v>0</v>
      </c>
      <c r="BD34" s="17">
        <v>0</v>
      </c>
      <c r="BE34" s="17">
        <v>0</v>
      </c>
      <c r="BF34" s="17">
        <v>0</v>
      </c>
      <c r="BG34" s="17">
        <v>0</v>
      </c>
      <c r="BH34" s="17">
        <v>0</v>
      </c>
      <c r="BI34" s="17">
        <v>0</v>
      </c>
      <c r="BJ34" s="17">
        <v>0</v>
      </c>
      <c r="BK34" s="17">
        <v>0</v>
      </c>
      <c r="BL34" s="17">
        <v>0</v>
      </c>
      <c r="BM34" s="17">
        <v>0</v>
      </c>
      <c r="BN34" s="17">
        <v>0</v>
      </c>
      <c r="BO34" s="17">
        <v>0</v>
      </c>
      <c r="BP34" s="17">
        <v>0</v>
      </c>
      <c r="BQ34" s="17">
        <v>0</v>
      </c>
      <c r="BR34" s="17">
        <v>0</v>
      </c>
      <c r="BS34" s="17">
        <v>0</v>
      </c>
      <c r="BT34" s="17">
        <v>0</v>
      </c>
      <c r="BU34" s="17">
        <v>0</v>
      </c>
      <c r="BV34" s="17">
        <v>0</v>
      </c>
      <c r="BW34" s="17">
        <v>0</v>
      </c>
      <c r="BX34" s="17">
        <v>0</v>
      </c>
      <c r="BY34" s="17">
        <v>0</v>
      </c>
      <c r="BZ34" s="17">
        <v>0</v>
      </c>
      <c r="CA34" s="17">
        <v>0</v>
      </c>
      <c r="CB34" s="17">
        <v>0</v>
      </c>
      <c r="CC34" s="17">
        <v>0</v>
      </c>
      <c r="CD34" s="17">
        <v>0</v>
      </c>
      <c r="CE34" s="17">
        <v>0</v>
      </c>
      <c r="CF34" s="5">
        <f t="shared" si="9"/>
        <v>0</v>
      </c>
      <c r="CG34" s="5">
        <f t="shared" si="10"/>
        <v>0</v>
      </c>
      <c r="CH34" s="5">
        <f t="shared" si="11"/>
        <v>0</v>
      </c>
      <c r="CV34" s="2">
        <v>8</v>
      </c>
      <c r="CW34" s="36" t="s">
        <v>29</v>
      </c>
      <c r="CX34" s="2" t="s">
        <v>25</v>
      </c>
      <c r="CY34" s="2" t="s">
        <v>30</v>
      </c>
    </row>
    <row r="35" spans="1:103" s="2" customFormat="1" ht="12.75" outlineLevel="1" x14ac:dyDescent="0.2">
      <c r="A35" s="93"/>
      <c r="B35" s="92">
        <v>8</v>
      </c>
      <c r="C35" s="17">
        <v>0</v>
      </c>
      <c r="D35" s="17">
        <v>0</v>
      </c>
      <c r="E35" s="17">
        <v>0</v>
      </c>
      <c r="F35" s="17">
        <v>0</v>
      </c>
      <c r="G35" s="17">
        <v>0</v>
      </c>
      <c r="H35" s="17">
        <v>0</v>
      </c>
      <c r="I35" s="17">
        <v>0</v>
      </c>
      <c r="J35" s="17">
        <v>0</v>
      </c>
      <c r="K35" s="17">
        <v>0</v>
      </c>
      <c r="L35" s="17">
        <v>0</v>
      </c>
      <c r="M35" s="17">
        <v>0</v>
      </c>
      <c r="N35" s="17">
        <v>0</v>
      </c>
      <c r="O35" s="17">
        <v>0</v>
      </c>
      <c r="P35" s="17">
        <v>0</v>
      </c>
      <c r="Q35" s="17">
        <v>0</v>
      </c>
      <c r="R35" s="17">
        <v>0</v>
      </c>
      <c r="S35" s="17">
        <v>0</v>
      </c>
      <c r="T35" s="17">
        <v>0</v>
      </c>
      <c r="U35" s="17">
        <v>0</v>
      </c>
      <c r="V35" s="17">
        <v>0</v>
      </c>
      <c r="W35" s="17">
        <v>0</v>
      </c>
      <c r="X35" s="17">
        <v>0</v>
      </c>
      <c r="Y35" s="17">
        <v>0</v>
      </c>
      <c r="Z35" s="17">
        <v>0</v>
      </c>
      <c r="AA35" s="17">
        <v>0</v>
      </c>
      <c r="AB35" s="17">
        <v>0</v>
      </c>
      <c r="AC35" s="17">
        <v>0</v>
      </c>
      <c r="AD35" s="17">
        <v>0</v>
      </c>
      <c r="AE35" s="17">
        <v>0</v>
      </c>
      <c r="AF35" s="17">
        <v>0</v>
      </c>
      <c r="AG35" s="17">
        <v>0</v>
      </c>
      <c r="AH35" s="17">
        <v>0</v>
      </c>
      <c r="AI35" s="17">
        <v>0</v>
      </c>
      <c r="AJ35" s="17">
        <v>0</v>
      </c>
      <c r="AK35" s="17">
        <v>0</v>
      </c>
      <c r="AL35" s="17">
        <v>0</v>
      </c>
      <c r="AM35" s="17">
        <v>0</v>
      </c>
      <c r="AN35" s="17">
        <v>0</v>
      </c>
      <c r="AO35" s="17">
        <v>0</v>
      </c>
      <c r="AP35" s="17">
        <v>0</v>
      </c>
      <c r="AQ35" s="17">
        <v>0</v>
      </c>
      <c r="AR35" s="17">
        <v>0</v>
      </c>
      <c r="AS35" s="17">
        <v>0</v>
      </c>
      <c r="AT35" s="17">
        <v>0</v>
      </c>
      <c r="AU35" s="17">
        <v>0</v>
      </c>
      <c r="AV35" s="17">
        <v>0</v>
      </c>
      <c r="AW35" s="17">
        <v>0</v>
      </c>
      <c r="AX35" s="17">
        <v>0</v>
      </c>
      <c r="AY35" s="17">
        <v>0</v>
      </c>
      <c r="AZ35" s="17">
        <v>0</v>
      </c>
      <c r="BA35" s="17">
        <v>0</v>
      </c>
      <c r="BB35" s="17">
        <v>0</v>
      </c>
      <c r="BC35" s="17">
        <v>0</v>
      </c>
      <c r="BD35" s="17">
        <v>0</v>
      </c>
      <c r="BE35" s="17">
        <v>0</v>
      </c>
      <c r="BF35" s="17">
        <v>0</v>
      </c>
      <c r="BG35" s="17">
        <v>0</v>
      </c>
      <c r="BH35" s="17">
        <v>0</v>
      </c>
      <c r="BI35" s="17">
        <v>0</v>
      </c>
      <c r="BJ35" s="17">
        <v>0</v>
      </c>
      <c r="BK35" s="17">
        <v>0</v>
      </c>
      <c r="BL35" s="17">
        <v>0</v>
      </c>
      <c r="BM35" s="17">
        <v>0</v>
      </c>
      <c r="BN35" s="17">
        <v>0</v>
      </c>
      <c r="BO35" s="17">
        <v>0</v>
      </c>
      <c r="BP35" s="17">
        <v>0</v>
      </c>
      <c r="BQ35" s="17">
        <v>0</v>
      </c>
      <c r="BR35" s="17">
        <v>0</v>
      </c>
      <c r="BS35" s="17">
        <v>0</v>
      </c>
      <c r="BT35" s="17">
        <v>0</v>
      </c>
      <c r="BU35" s="17">
        <v>0</v>
      </c>
      <c r="BV35" s="17">
        <v>0</v>
      </c>
      <c r="BW35" s="17">
        <v>0</v>
      </c>
      <c r="BX35" s="17">
        <v>0</v>
      </c>
      <c r="BY35" s="17">
        <v>0</v>
      </c>
      <c r="BZ35" s="17">
        <v>0</v>
      </c>
      <c r="CA35" s="17">
        <v>0</v>
      </c>
      <c r="CB35" s="17">
        <v>0</v>
      </c>
      <c r="CC35" s="17">
        <v>0</v>
      </c>
      <c r="CD35" s="17">
        <v>0</v>
      </c>
      <c r="CE35" s="17">
        <v>0</v>
      </c>
      <c r="CF35" s="5">
        <f t="shared" si="9"/>
        <v>0</v>
      </c>
      <c r="CG35" s="5">
        <f t="shared" si="10"/>
        <v>0</v>
      </c>
      <c r="CH35" s="5">
        <f t="shared" si="11"/>
        <v>0</v>
      </c>
      <c r="CV35" s="2">
        <v>9</v>
      </c>
      <c r="CW35" s="36" t="s">
        <v>31</v>
      </c>
      <c r="CX35" s="2" t="s">
        <v>32</v>
      </c>
      <c r="CY35" s="2" t="s">
        <v>33</v>
      </c>
    </row>
    <row r="36" spans="1:103" s="2" customFormat="1" ht="12.75" outlineLevel="1" x14ac:dyDescent="0.2">
      <c r="A36" s="93"/>
      <c r="B36" s="92">
        <v>9</v>
      </c>
      <c r="C36" s="17">
        <v>0</v>
      </c>
      <c r="D36" s="17">
        <v>0</v>
      </c>
      <c r="E36" s="17">
        <v>0</v>
      </c>
      <c r="F36" s="17">
        <v>0</v>
      </c>
      <c r="G36" s="17">
        <v>0</v>
      </c>
      <c r="H36" s="17">
        <v>0</v>
      </c>
      <c r="I36" s="17">
        <v>0</v>
      </c>
      <c r="J36" s="17">
        <v>0</v>
      </c>
      <c r="K36" s="17">
        <v>0</v>
      </c>
      <c r="L36" s="17">
        <v>0</v>
      </c>
      <c r="M36" s="17">
        <v>0</v>
      </c>
      <c r="N36" s="17">
        <v>0</v>
      </c>
      <c r="O36" s="17">
        <v>0</v>
      </c>
      <c r="P36" s="17">
        <v>0</v>
      </c>
      <c r="Q36" s="17">
        <v>0</v>
      </c>
      <c r="R36" s="17">
        <v>0</v>
      </c>
      <c r="S36" s="17">
        <v>0</v>
      </c>
      <c r="T36" s="17">
        <v>0</v>
      </c>
      <c r="U36" s="17">
        <v>0</v>
      </c>
      <c r="V36" s="17">
        <v>0</v>
      </c>
      <c r="W36" s="17">
        <v>0</v>
      </c>
      <c r="X36" s="17">
        <v>0</v>
      </c>
      <c r="Y36" s="17">
        <v>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0</v>
      </c>
      <c r="BA36" s="17">
        <v>0</v>
      </c>
      <c r="BB36" s="17">
        <v>0</v>
      </c>
      <c r="BC36" s="17">
        <v>0</v>
      </c>
      <c r="BD36" s="17">
        <v>0</v>
      </c>
      <c r="BE36" s="17">
        <v>0</v>
      </c>
      <c r="BF36" s="17">
        <v>0</v>
      </c>
      <c r="BG36" s="17">
        <v>0</v>
      </c>
      <c r="BH36" s="17">
        <v>0</v>
      </c>
      <c r="BI36" s="17">
        <v>0</v>
      </c>
      <c r="BJ36" s="17">
        <v>0</v>
      </c>
      <c r="BK36" s="17">
        <v>0</v>
      </c>
      <c r="BL36" s="17">
        <v>0</v>
      </c>
      <c r="BM36" s="17">
        <v>0</v>
      </c>
      <c r="BN36" s="17">
        <v>0</v>
      </c>
      <c r="BO36" s="17">
        <v>0</v>
      </c>
      <c r="BP36" s="17">
        <v>0</v>
      </c>
      <c r="BQ36" s="17">
        <v>0</v>
      </c>
      <c r="BR36" s="17">
        <v>0</v>
      </c>
      <c r="BS36" s="17">
        <v>0</v>
      </c>
      <c r="BT36" s="17">
        <v>0</v>
      </c>
      <c r="BU36" s="17">
        <v>0</v>
      </c>
      <c r="BV36" s="17">
        <v>0</v>
      </c>
      <c r="BW36" s="17">
        <v>0</v>
      </c>
      <c r="BX36" s="17">
        <v>0</v>
      </c>
      <c r="BY36" s="17">
        <v>0</v>
      </c>
      <c r="BZ36" s="17">
        <v>0</v>
      </c>
      <c r="CA36" s="17">
        <v>0</v>
      </c>
      <c r="CB36" s="17">
        <v>0</v>
      </c>
      <c r="CC36" s="17">
        <v>0</v>
      </c>
      <c r="CD36" s="17">
        <v>0</v>
      </c>
      <c r="CE36" s="17">
        <v>0</v>
      </c>
      <c r="CF36" s="5">
        <f t="shared" si="9"/>
        <v>0</v>
      </c>
      <c r="CG36" s="5">
        <f t="shared" si="10"/>
        <v>0</v>
      </c>
      <c r="CH36" s="5">
        <f t="shared" si="11"/>
        <v>0</v>
      </c>
      <c r="CV36" s="2">
        <v>10</v>
      </c>
      <c r="CW36" s="36" t="s">
        <v>34</v>
      </c>
      <c r="CX36" s="2" t="s">
        <v>35</v>
      </c>
      <c r="CY36" s="2" t="s">
        <v>36</v>
      </c>
    </row>
    <row r="37" spans="1:103" s="2" customFormat="1" ht="13.5" customHeight="1" x14ac:dyDescent="0.2">
      <c r="A37" s="94"/>
      <c r="B37" s="20" t="s">
        <v>3</v>
      </c>
      <c r="C37" s="21">
        <f t="shared" ref="C37:AH37" si="68">AVERAGE(C28:C36)</f>
        <v>0</v>
      </c>
      <c r="D37" s="21">
        <f t="shared" si="68"/>
        <v>0</v>
      </c>
      <c r="E37" s="21">
        <f t="shared" si="68"/>
        <v>0</v>
      </c>
      <c r="F37" s="21">
        <f t="shared" si="68"/>
        <v>0</v>
      </c>
      <c r="G37" s="21">
        <f t="shared" si="68"/>
        <v>0</v>
      </c>
      <c r="H37" s="21">
        <f t="shared" si="68"/>
        <v>0</v>
      </c>
      <c r="I37" s="21">
        <f t="shared" si="68"/>
        <v>0</v>
      </c>
      <c r="J37" s="21">
        <f t="shared" si="68"/>
        <v>0</v>
      </c>
      <c r="K37" s="21">
        <f t="shared" si="68"/>
        <v>0</v>
      </c>
      <c r="L37" s="21">
        <f t="shared" si="68"/>
        <v>0</v>
      </c>
      <c r="M37" s="21">
        <f t="shared" si="68"/>
        <v>0</v>
      </c>
      <c r="N37" s="21">
        <f t="shared" si="68"/>
        <v>0</v>
      </c>
      <c r="O37" s="21">
        <f t="shared" si="68"/>
        <v>0</v>
      </c>
      <c r="P37" s="21">
        <f t="shared" si="68"/>
        <v>0</v>
      </c>
      <c r="Q37" s="21">
        <f t="shared" si="68"/>
        <v>0</v>
      </c>
      <c r="R37" s="21">
        <f t="shared" si="68"/>
        <v>0</v>
      </c>
      <c r="S37" s="21">
        <f t="shared" si="68"/>
        <v>0</v>
      </c>
      <c r="T37" s="21">
        <f t="shared" si="68"/>
        <v>0</v>
      </c>
      <c r="U37" s="21">
        <f t="shared" si="68"/>
        <v>0</v>
      </c>
      <c r="V37" s="21">
        <f t="shared" si="68"/>
        <v>0</v>
      </c>
      <c r="W37" s="21">
        <f t="shared" si="68"/>
        <v>0</v>
      </c>
      <c r="X37" s="21">
        <f t="shared" si="68"/>
        <v>0</v>
      </c>
      <c r="Y37" s="21">
        <f t="shared" si="68"/>
        <v>0</v>
      </c>
      <c r="Z37" s="21">
        <f t="shared" si="68"/>
        <v>0</v>
      </c>
      <c r="AA37" s="21">
        <f t="shared" si="68"/>
        <v>0</v>
      </c>
      <c r="AB37" s="21">
        <f t="shared" si="68"/>
        <v>0</v>
      </c>
      <c r="AC37" s="21">
        <f t="shared" si="68"/>
        <v>0</v>
      </c>
      <c r="AD37" s="21">
        <f t="shared" si="68"/>
        <v>0</v>
      </c>
      <c r="AE37" s="21">
        <f t="shared" si="68"/>
        <v>0</v>
      </c>
      <c r="AF37" s="21">
        <f t="shared" si="68"/>
        <v>0</v>
      </c>
      <c r="AG37" s="31">
        <f t="shared" si="68"/>
        <v>0</v>
      </c>
      <c r="AH37" s="21">
        <f t="shared" si="68"/>
        <v>0</v>
      </c>
      <c r="AI37" s="21">
        <f t="shared" ref="AI37:BN37" si="69">AVERAGE(AI28:AI36)</f>
        <v>0</v>
      </c>
      <c r="AJ37" s="21">
        <f t="shared" si="69"/>
        <v>0</v>
      </c>
      <c r="AK37" s="21">
        <f t="shared" si="69"/>
        <v>0</v>
      </c>
      <c r="AL37" s="21">
        <f t="shared" si="69"/>
        <v>0</v>
      </c>
      <c r="AM37" s="21">
        <f t="shared" si="69"/>
        <v>0</v>
      </c>
      <c r="AN37" s="21">
        <f t="shared" si="69"/>
        <v>0</v>
      </c>
      <c r="AO37" s="21">
        <f t="shared" si="69"/>
        <v>0</v>
      </c>
      <c r="AP37" s="21">
        <f t="shared" si="69"/>
        <v>0</v>
      </c>
      <c r="AQ37" s="21">
        <f t="shared" si="69"/>
        <v>0</v>
      </c>
      <c r="AR37" s="21">
        <f t="shared" si="69"/>
        <v>0</v>
      </c>
      <c r="AS37" s="21">
        <f t="shared" si="69"/>
        <v>0</v>
      </c>
      <c r="AT37" s="21">
        <f t="shared" si="69"/>
        <v>0</v>
      </c>
      <c r="AU37" s="21">
        <f t="shared" si="69"/>
        <v>0</v>
      </c>
      <c r="AV37" s="21">
        <f t="shared" si="69"/>
        <v>0</v>
      </c>
      <c r="AW37" s="21">
        <f t="shared" si="69"/>
        <v>0</v>
      </c>
      <c r="AX37" s="21">
        <f t="shared" si="69"/>
        <v>0</v>
      </c>
      <c r="AY37" s="21">
        <f t="shared" si="69"/>
        <v>0</v>
      </c>
      <c r="AZ37" s="21">
        <f t="shared" si="69"/>
        <v>0</v>
      </c>
      <c r="BA37" s="21">
        <f t="shared" si="69"/>
        <v>0</v>
      </c>
      <c r="BB37" s="21">
        <f t="shared" si="69"/>
        <v>0</v>
      </c>
      <c r="BC37" s="21">
        <f t="shared" si="69"/>
        <v>0</v>
      </c>
      <c r="BD37" s="21">
        <f t="shared" si="69"/>
        <v>0</v>
      </c>
      <c r="BE37" s="21">
        <f t="shared" si="69"/>
        <v>0</v>
      </c>
      <c r="BF37" s="21">
        <f t="shared" si="69"/>
        <v>0</v>
      </c>
      <c r="BG37" s="21">
        <f t="shared" si="69"/>
        <v>0</v>
      </c>
      <c r="BH37" s="21">
        <f t="shared" si="69"/>
        <v>0</v>
      </c>
      <c r="BI37" s="21">
        <f t="shared" si="69"/>
        <v>0</v>
      </c>
      <c r="BJ37" s="21">
        <f t="shared" si="69"/>
        <v>0</v>
      </c>
      <c r="BK37" s="21">
        <f t="shared" si="69"/>
        <v>0</v>
      </c>
      <c r="BL37" s="21">
        <f t="shared" si="69"/>
        <v>0</v>
      </c>
      <c r="BM37" s="21">
        <f t="shared" si="69"/>
        <v>0</v>
      </c>
      <c r="BN37" s="21">
        <f t="shared" si="69"/>
        <v>0</v>
      </c>
      <c r="BO37" s="21">
        <f t="shared" ref="BO37:CE37" si="70">AVERAGE(BO28:BO36)</f>
        <v>0</v>
      </c>
      <c r="BP37" s="21">
        <f t="shared" si="70"/>
        <v>0</v>
      </c>
      <c r="BQ37" s="98">
        <f t="shared" si="70"/>
        <v>0</v>
      </c>
      <c r="BR37" s="98">
        <f t="shared" si="70"/>
        <v>0</v>
      </c>
      <c r="BS37" s="98">
        <f t="shared" si="70"/>
        <v>0</v>
      </c>
      <c r="BT37" s="21">
        <f t="shared" si="70"/>
        <v>0</v>
      </c>
      <c r="BU37" s="21">
        <f t="shared" si="70"/>
        <v>0</v>
      </c>
      <c r="BV37" s="21">
        <f t="shared" si="70"/>
        <v>0</v>
      </c>
      <c r="BW37" s="21">
        <f t="shared" si="70"/>
        <v>0</v>
      </c>
      <c r="BX37" s="21">
        <f t="shared" si="70"/>
        <v>0</v>
      </c>
      <c r="BY37" s="21">
        <f t="shared" si="70"/>
        <v>0</v>
      </c>
      <c r="BZ37" s="21">
        <f t="shared" si="70"/>
        <v>0</v>
      </c>
      <c r="CA37" s="21">
        <f t="shared" si="70"/>
        <v>0</v>
      </c>
      <c r="CB37" s="21">
        <f t="shared" si="70"/>
        <v>0</v>
      </c>
      <c r="CC37" s="21">
        <f t="shared" si="70"/>
        <v>0</v>
      </c>
      <c r="CD37" s="21">
        <f t="shared" si="70"/>
        <v>0</v>
      </c>
      <c r="CE37" s="21">
        <f t="shared" si="70"/>
        <v>0</v>
      </c>
      <c r="CF37" s="7">
        <f t="shared" si="9"/>
        <v>0</v>
      </c>
      <c r="CG37" s="7">
        <f t="shared" si="10"/>
        <v>0</v>
      </c>
      <c r="CH37" s="7">
        <f t="shared" si="11"/>
        <v>0</v>
      </c>
      <c r="CI37" s="2">
        <v>3</v>
      </c>
      <c r="CJ37" s="65">
        <f>AVERAGE(CH28:CH36)</f>
        <v>0</v>
      </c>
      <c r="CV37" s="2">
        <v>12</v>
      </c>
      <c r="CW37" s="36" t="s">
        <v>37</v>
      </c>
      <c r="CX37" s="2" t="s">
        <v>38</v>
      </c>
      <c r="CY37" s="2" t="s">
        <v>39</v>
      </c>
    </row>
    <row r="38" spans="1:103" s="2" customFormat="1" ht="12.75" x14ac:dyDescent="0.2">
      <c r="A38" s="95" t="s">
        <v>84</v>
      </c>
      <c r="B38" s="92">
        <v>1</v>
      </c>
      <c r="C38" s="17">
        <v>0</v>
      </c>
      <c r="D38" s="17">
        <v>0</v>
      </c>
      <c r="E38" s="17">
        <v>0</v>
      </c>
      <c r="F38" s="17">
        <v>0</v>
      </c>
      <c r="G38" s="17">
        <v>0</v>
      </c>
      <c r="H38" s="17">
        <v>0</v>
      </c>
      <c r="I38" s="17">
        <v>0</v>
      </c>
      <c r="J38" s="17">
        <v>0</v>
      </c>
      <c r="K38" s="17">
        <v>0</v>
      </c>
      <c r="L38" s="17">
        <v>0</v>
      </c>
      <c r="M38" s="17">
        <v>0</v>
      </c>
      <c r="N38" s="17">
        <v>0</v>
      </c>
      <c r="O38" s="17">
        <v>0</v>
      </c>
      <c r="P38" s="17">
        <v>0</v>
      </c>
      <c r="Q38" s="17">
        <v>0</v>
      </c>
      <c r="R38" s="17">
        <v>0</v>
      </c>
      <c r="S38" s="17">
        <v>0</v>
      </c>
      <c r="T38" s="17">
        <v>0</v>
      </c>
      <c r="U38" s="17">
        <v>0</v>
      </c>
      <c r="V38" s="17">
        <v>0</v>
      </c>
      <c r="W38" s="17">
        <v>0</v>
      </c>
      <c r="X38" s="17">
        <v>0</v>
      </c>
      <c r="Y38" s="17">
        <v>0</v>
      </c>
      <c r="Z38" s="17">
        <v>0</v>
      </c>
      <c r="AA38" s="17">
        <v>0</v>
      </c>
      <c r="AB38" s="17">
        <v>0</v>
      </c>
      <c r="AC38" s="17">
        <v>0</v>
      </c>
      <c r="AD38" s="17">
        <v>0</v>
      </c>
      <c r="AE38" s="17">
        <v>0</v>
      </c>
      <c r="AF38" s="17">
        <v>0</v>
      </c>
      <c r="AG38" s="17">
        <v>0</v>
      </c>
      <c r="AH38" s="17">
        <v>0</v>
      </c>
      <c r="AI38" s="17">
        <v>0</v>
      </c>
      <c r="AJ38" s="17">
        <v>0</v>
      </c>
      <c r="AK38" s="17">
        <v>0</v>
      </c>
      <c r="AL38" s="17">
        <v>0</v>
      </c>
      <c r="AM38" s="17">
        <v>0</v>
      </c>
      <c r="AN38" s="17">
        <v>0</v>
      </c>
      <c r="AO38" s="17">
        <v>0</v>
      </c>
      <c r="AP38" s="17">
        <v>0</v>
      </c>
      <c r="AQ38" s="17">
        <v>0</v>
      </c>
      <c r="AR38" s="17">
        <v>0</v>
      </c>
      <c r="AS38" s="17">
        <v>0</v>
      </c>
      <c r="AT38" s="17">
        <v>0</v>
      </c>
      <c r="AU38" s="17">
        <v>0</v>
      </c>
      <c r="AV38" s="17">
        <v>0</v>
      </c>
      <c r="AW38" s="17">
        <v>0</v>
      </c>
      <c r="AX38" s="17">
        <v>0</v>
      </c>
      <c r="AY38" s="17">
        <v>0</v>
      </c>
      <c r="AZ38" s="17">
        <v>0</v>
      </c>
      <c r="BA38" s="17">
        <v>0</v>
      </c>
      <c r="BB38" s="17">
        <v>0</v>
      </c>
      <c r="BC38" s="17">
        <v>0</v>
      </c>
      <c r="BD38" s="17">
        <v>0</v>
      </c>
      <c r="BE38" s="17">
        <v>0</v>
      </c>
      <c r="BF38" s="17">
        <v>0</v>
      </c>
      <c r="BG38" s="17">
        <v>0</v>
      </c>
      <c r="BH38" s="17">
        <v>0</v>
      </c>
      <c r="BI38" s="17">
        <v>0</v>
      </c>
      <c r="BJ38" s="17">
        <v>0</v>
      </c>
      <c r="BK38" s="17">
        <v>0</v>
      </c>
      <c r="BL38" s="17">
        <v>0</v>
      </c>
      <c r="BM38" s="17">
        <v>0</v>
      </c>
      <c r="BN38" s="17">
        <v>0</v>
      </c>
      <c r="BO38" s="17">
        <v>0</v>
      </c>
      <c r="BP38" s="17">
        <v>0</v>
      </c>
      <c r="BQ38" s="17">
        <v>0</v>
      </c>
      <c r="BR38" s="17">
        <v>0</v>
      </c>
      <c r="BS38" s="17">
        <v>0</v>
      </c>
      <c r="BT38" s="17">
        <v>0</v>
      </c>
      <c r="BU38" s="17">
        <v>0</v>
      </c>
      <c r="BV38" s="17">
        <v>0</v>
      </c>
      <c r="BW38" s="17">
        <v>0</v>
      </c>
      <c r="BX38" s="17">
        <v>0</v>
      </c>
      <c r="BY38" s="17">
        <v>0</v>
      </c>
      <c r="BZ38" s="17">
        <v>0</v>
      </c>
      <c r="CA38" s="17">
        <v>0</v>
      </c>
      <c r="CB38" s="17">
        <v>0</v>
      </c>
      <c r="CC38" s="17">
        <v>0</v>
      </c>
      <c r="CD38" s="17">
        <v>0</v>
      </c>
      <c r="CE38" s="17">
        <v>0</v>
      </c>
      <c r="CF38" s="5">
        <f t="shared" ref="CF38:CF46" si="71">AVERAGE(C38,F38,I38,L38,O38,R38,U38,X38,AA38,AD38,AG38,AJ38,AM38,AP38,AS38,AV38,AY38,BB38,BE38,BH38,BK38,BN38,BQ38,BT38,BW38,BZ38,CC38)</f>
        <v>0</v>
      </c>
      <c r="CG38" s="5">
        <f t="shared" ref="CG38:CG46" si="72">AVERAGE(D38,G38,J38,M38,P38,S38,V38,Y38,AB38,AE38,AH38,AK38,AN38,AQ38,AT38,AW38,AZ38,BC38,BF38,BI38,BL38,BO38,BR38,BU38,BX38,CA38,CD38)</f>
        <v>0</v>
      </c>
      <c r="CH38" s="5">
        <f t="shared" ref="CH38:CH46" si="73">AVERAGE(E38,H38,K38,N38,Q38,T38,W38,Z38,AC38,AF38,AI38,AL38,AO38,AR38,AU38,AX38,BA38,BD38,BG38,BJ38,BM38,BP38,BS38,BV38,BY38,CB38,CE38)</f>
        <v>0</v>
      </c>
      <c r="CW38" s="36"/>
    </row>
    <row r="39" spans="1:103" s="2" customFormat="1" ht="12.75" x14ac:dyDescent="0.2">
      <c r="A39" s="96"/>
      <c r="B39" s="92">
        <v>2</v>
      </c>
      <c r="C39" s="17">
        <v>0</v>
      </c>
      <c r="D39" s="17">
        <v>0</v>
      </c>
      <c r="E39" s="17">
        <v>0</v>
      </c>
      <c r="F39" s="17">
        <v>0</v>
      </c>
      <c r="G39" s="17">
        <v>0</v>
      </c>
      <c r="H39" s="17">
        <v>0</v>
      </c>
      <c r="I39" s="17">
        <v>0</v>
      </c>
      <c r="J39" s="17">
        <v>0</v>
      </c>
      <c r="K39" s="17">
        <v>0</v>
      </c>
      <c r="L39" s="17">
        <v>0</v>
      </c>
      <c r="M39" s="17">
        <v>0</v>
      </c>
      <c r="N39" s="17">
        <v>0</v>
      </c>
      <c r="O39" s="17">
        <v>0</v>
      </c>
      <c r="P39" s="17">
        <v>0</v>
      </c>
      <c r="Q39" s="17">
        <v>0</v>
      </c>
      <c r="R39" s="17">
        <v>0</v>
      </c>
      <c r="S39" s="17">
        <v>0</v>
      </c>
      <c r="T39" s="17">
        <v>0</v>
      </c>
      <c r="U39" s="17">
        <v>0</v>
      </c>
      <c r="V39" s="17">
        <v>0</v>
      </c>
      <c r="W39" s="17">
        <v>0</v>
      </c>
      <c r="X39" s="17">
        <v>0</v>
      </c>
      <c r="Y39" s="17">
        <v>0</v>
      </c>
      <c r="Z39" s="17">
        <v>0</v>
      </c>
      <c r="AA39" s="17">
        <v>0</v>
      </c>
      <c r="AB39" s="17">
        <v>0</v>
      </c>
      <c r="AC39" s="17">
        <v>0</v>
      </c>
      <c r="AD39" s="17">
        <v>0</v>
      </c>
      <c r="AE39" s="17">
        <v>0</v>
      </c>
      <c r="AF39" s="17">
        <v>0</v>
      </c>
      <c r="AG39" s="17">
        <v>0</v>
      </c>
      <c r="AH39" s="17">
        <v>0</v>
      </c>
      <c r="AI39" s="17">
        <v>0</v>
      </c>
      <c r="AJ39" s="17">
        <v>0</v>
      </c>
      <c r="AK39" s="17">
        <v>0</v>
      </c>
      <c r="AL39" s="17">
        <v>0</v>
      </c>
      <c r="AM39" s="17">
        <v>0</v>
      </c>
      <c r="AN39" s="17">
        <v>0</v>
      </c>
      <c r="AO39" s="17">
        <v>0</v>
      </c>
      <c r="AP39" s="17">
        <v>0</v>
      </c>
      <c r="AQ39" s="17">
        <v>0</v>
      </c>
      <c r="AR39" s="17">
        <v>0</v>
      </c>
      <c r="AS39" s="17">
        <v>0</v>
      </c>
      <c r="AT39" s="17">
        <v>0</v>
      </c>
      <c r="AU39" s="17">
        <v>0</v>
      </c>
      <c r="AV39" s="17">
        <v>0</v>
      </c>
      <c r="AW39" s="17">
        <v>0</v>
      </c>
      <c r="AX39" s="17">
        <v>0</v>
      </c>
      <c r="AY39" s="17">
        <v>0</v>
      </c>
      <c r="AZ39" s="17">
        <v>0</v>
      </c>
      <c r="BA39" s="17">
        <v>0</v>
      </c>
      <c r="BB39" s="17">
        <v>0</v>
      </c>
      <c r="BC39" s="17">
        <v>0</v>
      </c>
      <c r="BD39" s="17">
        <v>0</v>
      </c>
      <c r="BE39" s="17">
        <v>0</v>
      </c>
      <c r="BF39" s="17">
        <v>0</v>
      </c>
      <c r="BG39" s="17">
        <v>0</v>
      </c>
      <c r="BH39" s="17">
        <v>0</v>
      </c>
      <c r="BI39" s="17">
        <v>0</v>
      </c>
      <c r="BJ39" s="17">
        <v>0</v>
      </c>
      <c r="BK39" s="17">
        <v>0</v>
      </c>
      <c r="BL39" s="17">
        <v>0</v>
      </c>
      <c r="BM39" s="17">
        <v>0</v>
      </c>
      <c r="BN39" s="17">
        <v>0</v>
      </c>
      <c r="BO39" s="17">
        <v>0</v>
      </c>
      <c r="BP39" s="17">
        <v>0</v>
      </c>
      <c r="BQ39" s="17">
        <v>0</v>
      </c>
      <c r="BR39" s="17">
        <v>0</v>
      </c>
      <c r="BS39" s="17">
        <v>0</v>
      </c>
      <c r="BT39" s="17">
        <v>0</v>
      </c>
      <c r="BU39" s="17">
        <v>0</v>
      </c>
      <c r="BV39" s="17">
        <v>0</v>
      </c>
      <c r="BW39" s="17">
        <v>0</v>
      </c>
      <c r="BX39" s="17">
        <v>0</v>
      </c>
      <c r="BY39" s="17">
        <v>0</v>
      </c>
      <c r="BZ39" s="17">
        <v>0</v>
      </c>
      <c r="CA39" s="17">
        <v>0</v>
      </c>
      <c r="CB39" s="17">
        <v>0</v>
      </c>
      <c r="CC39" s="17">
        <v>0</v>
      </c>
      <c r="CD39" s="17">
        <v>0</v>
      </c>
      <c r="CE39" s="17">
        <v>0</v>
      </c>
      <c r="CF39" s="5">
        <f>AVERAGE(C39,F39,I39,L39,O39,R39,U39,X39,AA39,AD39,AG39,AJ39,AM39,AP39,AS39,AV39,AY39,BB39,BE39,BH39,BK39,BN39,BQ39,BT39,BW39,BZ39,CC39)</f>
        <v>0</v>
      </c>
      <c r="CG39" s="5">
        <f t="shared" si="72"/>
        <v>0</v>
      </c>
      <c r="CH39" s="5">
        <f t="shared" si="73"/>
        <v>0</v>
      </c>
      <c r="CW39" s="36"/>
    </row>
    <row r="40" spans="1:103" s="2" customFormat="1" ht="12.75" x14ac:dyDescent="0.2">
      <c r="A40" s="96"/>
      <c r="B40" s="92">
        <v>3</v>
      </c>
      <c r="C40" s="17">
        <v>0</v>
      </c>
      <c r="D40" s="17">
        <v>0</v>
      </c>
      <c r="E40" s="17">
        <v>0</v>
      </c>
      <c r="F40" s="17">
        <v>0</v>
      </c>
      <c r="G40" s="17">
        <v>0</v>
      </c>
      <c r="H40" s="17">
        <v>0</v>
      </c>
      <c r="I40" s="17">
        <v>0</v>
      </c>
      <c r="J40" s="17">
        <v>0</v>
      </c>
      <c r="K40" s="17">
        <v>0</v>
      </c>
      <c r="L40" s="17">
        <v>0</v>
      </c>
      <c r="M40" s="17">
        <v>0</v>
      </c>
      <c r="N40" s="17">
        <v>0</v>
      </c>
      <c r="O40" s="17">
        <v>0</v>
      </c>
      <c r="P40" s="17">
        <v>0</v>
      </c>
      <c r="Q40" s="17">
        <v>0</v>
      </c>
      <c r="R40" s="17">
        <v>0</v>
      </c>
      <c r="S40" s="17">
        <v>0</v>
      </c>
      <c r="T40" s="17">
        <v>0</v>
      </c>
      <c r="U40" s="17">
        <v>0</v>
      </c>
      <c r="V40" s="17">
        <v>0</v>
      </c>
      <c r="W40" s="17">
        <v>0</v>
      </c>
      <c r="X40" s="17">
        <v>0</v>
      </c>
      <c r="Y40" s="17">
        <v>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0</v>
      </c>
      <c r="BQ40" s="17">
        <v>0</v>
      </c>
      <c r="BR40" s="17">
        <v>0</v>
      </c>
      <c r="BS40" s="17">
        <v>0</v>
      </c>
      <c r="BT40" s="17">
        <v>0</v>
      </c>
      <c r="BU40" s="17">
        <v>0</v>
      </c>
      <c r="BV40" s="17">
        <v>0</v>
      </c>
      <c r="BW40" s="17">
        <v>0</v>
      </c>
      <c r="BX40" s="17">
        <v>0</v>
      </c>
      <c r="BY40" s="17">
        <v>0</v>
      </c>
      <c r="BZ40" s="17">
        <v>0</v>
      </c>
      <c r="CA40" s="17">
        <v>0</v>
      </c>
      <c r="CB40" s="17">
        <v>0</v>
      </c>
      <c r="CC40" s="17">
        <v>0</v>
      </c>
      <c r="CD40" s="17">
        <v>0</v>
      </c>
      <c r="CE40" s="17">
        <v>0</v>
      </c>
      <c r="CF40" s="5">
        <f t="shared" ref="CF40:CF43" si="74">AVERAGE(C40,F40,I40,L40,O40,R40,U40,X40,AA40,AD40,AG40,AJ40,AM40,AP40,AS40,AV40,AY40,BB40,BE40,BH40,BK40,BN40,BQ40,BT40,BW40,BZ40,CC40)</f>
        <v>0</v>
      </c>
      <c r="CG40" s="5">
        <f t="shared" ref="CG40:CG43" si="75">AVERAGE(D40,G40,J40,M40,P40,S40,V40,Y40,AB40,AE40,AH40,AK40,AN40,AQ40,AT40,AW40,AZ40,BC40,BF40,BI40,BL40,BO40,BR40,BU40,BX40,CA40,CD40)</f>
        <v>0</v>
      </c>
      <c r="CH40" s="5">
        <f t="shared" ref="CH40:CH43" si="76">AVERAGE(E40,H40,K40,N40,Q40,T40,W40,Z40,AC40,AF40,AI40,AL40,AO40,AR40,AU40,AX40,BA40,BD40,BG40,BJ40,BM40,BP40,BS40,BV40,BY40,CB40,CE40)</f>
        <v>0</v>
      </c>
      <c r="CW40" s="36"/>
    </row>
    <row r="41" spans="1:103" s="2" customFormat="1" ht="12.75" x14ac:dyDescent="0.2">
      <c r="A41" s="96"/>
      <c r="B41" s="92">
        <v>4</v>
      </c>
      <c r="C41" s="17">
        <v>0</v>
      </c>
      <c r="D41" s="17">
        <v>0</v>
      </c>
      <c r="E41" s="17">
        <v>0</v>
      </c>
      <c r="F41" s="17">
        <v>0</v>
      </c>
      <c r="G41" s="17">
        <v>0</v>
      </c>
      <c r="H41" s="17">
        <v>0</v>
      </c>
      <c r="I41" s="17">
        <v>0</v>
      </c>
      <c r="J41" s="17">
        <v>0</v>
      </c>
      <c r="K41" s="17">
        <v>0</v>
      </c>
      <c r="L41" s="17">
        <v>0</v>
      </c>
      <c r="M41" s="17">
        <v>0</v>
      </c>
      <c r="N41" s="17">
        <v>0</v>
      </c>
      <c r="O41" s="17">
        <v>0</v>
      </c>
      <c r="P41" s="17">
        <v>0</v>
      </c>
      <c r="Q41" s="17">
        <v>0</v>
      </c>
      <c r="R41" s="17">
        <v>0</v>
      </c>
      <c r="S41" s="17">
        <v>0</v>
      </c>
      <c r="T41" s="17">
        <v>0</v>
      </c>
      <c r="U41" s="17">
        <v>0</v>
      </c>
      <c r="V41" s="17">
        <v>0</v>
      </c>
      <c r="W41" s="17">
        <v>0</v>
      </c>
      <c r="X41" s="17">
        <v>0</v>
      </c>
      <c r="Y41" s="17">
        <v>0</v>
      </c>
      <c r="Z41" s="17">
        <v>0</v>
      </c>
      <c r="AA41" s="17">
        <v>0</v>
      </c>
      <c r="AB41" s="17">
        <v>0</v>
      </c>
      <c r="AC41" s="17">
        <v>0</v>
      </c>
      <c r="AD41" s="17">
        <v>0</v>
      </c>
      <c r="AE41" s="17">
        <v>0</v>
      </c>
      <c r="AF41" s="17">
        <v>0</v>
      </c>
      <c r="AG41" s="17">
        <v>0</v>
      </c>
      <c r="AH41" s="17">
        <v>0</v>
      </c>
      <c r="AI41" s="17">
        <v>0</v>
      </c>
      <c r="AJ41" s="17">
        <v>0</v>
      </c>
      <c r="AK41" s="17">
        <v>0</v>
      </c>
      <c r="AL41" s="17">
        <v>0</v>
      </c>
      <c r="AM41" s="17">
        <v>0</v>
      </c>
      <c r="AN41" s="17">
        <v>0</v>
      </c>
      <c r="AO41" s="17">
        <v>0</v>
      </c>
      <c r="AP41" s="17">
        <v>0</v>
      </c>
      <c r="AQ41" s="17">
        <v>0</v>
      </c>
      <c r="AR41" s="17">
        <v>0</v>
      </c>
      <c r="AS41" s="17">
        <v>0</v>
      </c>
      <c r="AT41" s="17">
        <v>0</v>
      </c>
      <c r="AU41" s="17">
        <v>0</v>
      </c>
      <c r="AV41" s="17">
        <v>0</v>
      </c>
      <c r="AW41" s="17">
        <v>0</v>
      </c>
      <c r="AX41" s="17">
        <v>0</v>
      </c>
      <c r="AY41" s="17">
        <v>0</v>
      </c>
      <c r="AZ41" s="17">
        <v>0</v>
      </c>
      <c r="BA41" s="17">
        <v>0</v>
      </c>
      <c r="BB41" s="17">
        <v>0</v>
      </c>
      <c r="BC41" s="17">
        <v>0</v>
      </c>
      <c r="BD41" s="17">
        <v>0</v>
      </c>
      <c r="BE41" s="17">
        <v>0</v>
      </c>
      <c r="BF41" s="17">
        <v>0</v>
      </c>
      <c r="BG41" s="17">
        <v>0</v>
      </c>
      <c r="BH41" s="17">
        <v>0</v>
      </c>
      <c r="BI41" s="17">
        <v>0</v>
      </c>
      <c r="BJ41" s="17">
        <v>0</v>
      </c>
      <c r="BK41" s="17">
        <v>0</v>
      </c>
      <c r="BL41" s="17">
        <v>0</v>
      </c>
      <c r="BM41" s="17">
        <v>0</v>
      </c>
      <c r="BN41" s="17">
        <v>0</v>
      </c>
      <c r="BO41" s="17">
        <v>0</v>
      </c>
      <c r="BP41" s="17">
        <v>0</v>
      </c>
      <c r="BQ41" s="17">
        <v>0</v>
      </c>
      <c r="BR41" s="17">
        <v>0</v>
      </c>
      <c r="BS41" s="17">
        <v>0</v>
      </c>
      <c r="BT41" s="17">
        <v>0</v>
      </c>
      <c r="BU41" s="17">
        <v>0</v>
      </c>
      <c r="BV41" s="17">
        <v>0</v>
      </c>
      <c r="BW41" s="17">
        <v>0</v>
      </c>
      <c r="BX41" s="17">
        <v>0</v>
      </c>
      <c r="BY41" s="17">
        <v>0</v>
      </c>
      <c r="BZ41" s="17">
        <v>0</v>
      </c>
      <c r="CA41" s="17">
        <v>0</v>
      </c>
      <c r="CB41" s="17">
        <v>0</v>
      </c>
      <c r="CC41" s="17">
        <v>0</v>
      </c>
      <c r="CD41" s="17">
        <v>0</v>
      </c>
      <c r="CE41" s="17">
        <v>0</v>
      </c>
      <c r="CF41" s="5">
        <f t="shared" si="74"/>
        <v>0</v>
      </c>
      <c r="CG41" s="5">
        <f t="shared" si="75"/>
        <v>0</v>
      </c>
      <c r="CH41" s="5">
        <f t="shared" si="76"/>
        <v>0</v>
      </c>
      <c r="CW41" s="36"/>
    </row>
    <row r="42" spans="1:103" s="2" customFormat="1" ht="12.75" x14ac:dyDescent="0.2">
      <c r="A42" s="96"/>
      <c r="B42" s="92">
        <v>5</v>
      </c>
      <c r="C42" s="17">
        <v>0</v>
      </c>
      <c r="D42" s="17">
        <v>0</v>
      </c>
      <c r="E42" s="17">
        <v>0</v>
      </c>
      <c r="F42" s="17">
        <v>0</v>
      </c>
      <c r="G42" s="17">
        <v>0</v>
      </c>
      <c r="H42" s="17">
        <v>0</v>
      </c>
      <c r="I42" s="17">
        <v>0</v>
      </c>
      <c r="J42" s="17">
        <v>0</v>
      </c>
      <c r="K42" s="17">
        <v>0</v>
      </c>
      <c r="L42" s="17">
        <v>0</v>
      </c>
      <c r="M42" s="17">
        <v>0</v>
      </c>
      <c r="N42" s="17">
        <v>0</v>
      </c>
      <c r="O42" s="17">
        <v>0</v>
      </c>
      <c r="P42" s="17">
        <v>0</v>
      </c>
      <c r="Q42" s="17">
        <v>0</v>
      </c>
      <c r="R42" s="17">
        <v>0</v>
      </c>
      <c r="S42" s="17">
        <v>0</v>
      </c>
      <c r="T42" s="17">
        <v>0</v>
      </c>
      <c r="U42" s="17">
        <v>0</v>
      </c>
      <c r="V42" s="17">
        <v>0</v>
      </c>
      <c r="W42" s="17">
        <v>0</v>
      </c>
      <c r="X42" s="17">
        <v>0</v>
      </c>
      <c r="Y42" s="17">
        <v>0</v>
      </c>
      <c r="Z42" s="17">
        <v>0</v>
      </c>
      <c r="AA42" s="17">
        <v>0</v>
      </c>
      <c r="AB42" s="17">
        <v>0</v>
      </c>
      <c r="AC42" s="17">
        <v>0</v>
      </c>
      <c r="AD42" s="17">
        <v>0</v>
      </c>
      <c r="AE42" s="17">
        <v>0</v>
      </c>
      <c r="AF42" s="17">
        <v>0</v>
      </c>
      <c r="AG42" s="17">
        <v>0</v>
      </c>
      <c r="AH42" s="17">
        <v>0</v>
      </c>
      <c r="AI42" s="17">
        <v>0</v>
      </c>
      <c r="AJ42" s="17">
        <v>0</v>
      </c>
      <c r="AK42" s="17">
        <v>0</v>
      </c>
      <c r="AL42" s="17">
        <v>0</v>
      </c>
      <c r="AM42" s="17">
        <v>0</v>
      </c>
      <c r="AN42" s="17">
        <v>0</v>
      </c>
      <c r="AO42" s="17">
        <v>0</v>
      </c>
      <c r="AP42" s="17">
        <v>0</v>
      </c>
      <c r="AQ42" s="17">
        <v>0</v>
      </c>
      <c r="AR42" s="17">
        <v>0</v>
      </c>
      <c r="AS42" s="17">
        <v>0</v>
      </c>
      <c r="AT42" s="17">
        <v>0</v>
      </c>
      <c r="AU42" s="17">
        <v>0</v>
      </c>
      <c r="AV42" s="17">
        <v>0</v>
      </c>
      <c r="AW42" s="17">
        <v>0</v>
      </c>
      <c r="AX42" s="17">
        <v>0</v>
      </c>
      <c r="AY42" s="17">
        <v>0</v>
      </c>
      <c r="AZ42" s="17">
        <v>0</v>
      </c>
      <c r="BA42" s="17">
        <v>0</v>
      </c>
      <c r="BB42" s="17">
        <v>0</v>
      </c>
      <c r="BC42" s="17">
        <v>0</v>
      </c>
      <c r="BD42" s="17">
        <v>0</v>
      </c>
      <c r="BE42" s="17">
        <v>0</v>
      </c>
      <c r="BF42" s="17">
        <v>0</v>
      </c>
      <c r="BG42" s="17">
        <v>0</v>
      </c>
      <c r="BH42" s="17">
        <v>0</v>
      </c>
      <c r="BI42" s="17">
        <v>0</v>
      </c>
      <c r="BJ42" s="17">
        <v>0</v>
      </c>
      <c r="BK42" s="17">
        <v>0</v>
      </c>
      <c r="BL42" s="17">
        <v>0</v>
      </c>
      <c r="BM42" s="17">
        <v>0</v>
      </c>
      <c r="BN42" s="17">
        <v>0</v>
      </c>
      <c r="BO42" s="17">
        <v>0</v>
      </c>
      <c r="BP42" s="17">
        <v>0</v>
      </c>
      <c r="BQ42" s="17">
        <v>0</v>
      </c>
      <c r="BR42" s="17">
        <v>0</v>
      </c>
      <c r="BS42" s="17">
        <v>0</v>
      </c>
      <c r="BT42" s="17">
        <v>0</v>
      </c>
      <c r="BU42" s="17">
        <v>0</v>
      </c>
      <c r="BV42" s="17">
        <v>0</v>
      </c>
      <c r="BW42" s="17">
        <v>0</v>
      </c>
      <c r="BX42" s="17">
        <v>0</v>
      </c>
      <c r="BY42" s="17">
        <v>0</v>
      </c>
      <c r="BZ42" s="17">
        <v>0</v>
      </c>
      <c r="CA42" s="17">
        <v>0</v>
      </c>
      <c r="CB42" s="17">
        <v>0</v>
      </c>
      <c r="CC42" s="17">
        <v>0</v>
      </c>
      <c r="CD42" s="17">
        <v>0</v>
      </c>
      <c r="CE42" s="17">
        <v>0</v>
      </c>
      <c r="CF42" s="5">
        <f t="shared" si="74"/>
        <v>0</v>
      </c>
      <c r="CG42" s="5">
        <f t="shared" si="75"/>
        <v>0</v>
      </c>
      <c r="CH42" s="5">
        <f t="shared" si="76"/>
        <v>0</v>
      </c>
      <c r="CW42" s="36"/>
    </row>
    <row r="43" spans="1:103" s="2" customFormat="1" ht="12.75" x14ac:dyDescent="0.2">
      <c r="A43" s="96"/>
      <c r="B43" s="92">
        <v>6</v>
      </c>
      <c r="C43" s="17">
        <v>0</v>
      </c>
      <c r="D43" s="17">
        <v>0</v>
      </c>
      <c r="E43" s="17">
        <v>0</v>
      </c>
      <c r="F43" s="17">
        <v>0</v>
      </c>
      <c r="G43" s="17">
        <v>0</v>
      </c>
      <c r="H43" s="17">
        <v>0</v>
      </c>
      <c r="I43" s="17">
        <v>0</v>
      </c>
      <c r="J43" s="17">
        <v>0</v>
      </c>
      <c r="K43" s="17">
        <v>0</v>
      </c>
      <c r="L43" s="17">
        <v>0</v>
      </c>
      <c r="M43" s="17">
        <v>0</v>
      </c>
      <c r="N43" s="17">
        <v>0</v>
      </c>
      <c r="O43" s="17">
        <v>0</v>
      </c>
      <c r="P43" s="17">
        <v>0</v>
      </c>
      <c r="Q43" s="17">
        <v>0</v>
      </c>
      <c r="R43" s="17">
        <v>0</v>
      </c>
      <c r="S43" s="17">
        <v>0</v>
      </c>
      <c r="T43" s="17">
        <v>0</v>
      </c>
      <c r="U43" s="17">
        <v>0</v>
      </c>
      <c r="V43" s="17">
        <v>0</v>
      </c>
      <c r="W43" s="17">
        <v>0</v>
      </c>
      <c r="X43" s="17">
        <v>0</v>
      </c>
      <c r="Y43" s="17">
        <v>0</v>
      </c>
      <c r="Z43" s="17">
        <v>0</v>
      </c>
      <c r="AA43" s="17">
        <v>0</v>
      </c>
      <c r="AB43" s="17">
        <v>0</v>
      </c>
      <c r="AC43" s="17">
        <v>0</v>
      </c>
      <c r="AD43" s="17">
        <v>0</v>
      </c>
      <c r="AE43" s="17">
        <v>0</v>
      </c>
      <c r="AF43" s="17">
        <v>0</v>
      </c>
      <c r="AG43" s="17">
        <v>0</v>
      </c>
      <c r="AH43" s="17">
        <v>0</v>
      </c>
      <c r="AI43" s="17">
        <v>0</v>
      </c>
      <c r="AJ43" s="17">
        <v>0</v>
      </c>
      <c r="AK43" s="17">
        <v>0</v>
      </c>
      <c r="AL43" s="17">
        <v>0</v>
      </c>
      <c r="AM43" s="17">
        <v>0</v>
      </c>
      <c r="AN43" s="17">
        <v>0</v>
      </c>
      <c r="AO43" s="17">
        <v>0</v>
      </c>
      <c r="AP43" s="17">
        <v>0</v>
      </c>
      <c r="AQ43" s="17">
        <v>0</v>
      </c>
      <c r="AR43" s="17">
        <v>0</v>
      </c>
      <c r="AS43" s="17">
        <v>0</v>
      </c>
      <c r="AT43" s="17">
        <v>0</v>
      </c>
      <c r="AU43" s="17">
        <v>0</v>
      </c>
      <c r="AV43" s="17">
        <v>0</v>
      </c>
      <c r="AW43" s="17">
        <v>0</v>
      </c>
      <c r="AX43" s="17">
        <v>0</v>
      </c>
      <c r="AY43" s="17">
        <v>0</v>
      </c>
      <c r="AZ43" s="17">
        <v>0</v>
      </c>
      <c r="BA43" s="17">
        <v>0</v>
      </c>
      <c r="BB43" s="17">
        <v>0</v>
      </c>
      <c r="BC43" s="17">
        <v>0</v>
      </c>
      <c r="BD43" s="17">
        <v>0</v>
      </c>
      <c r="BE43" s="17">
        <v>0</v>
      </c>
      <c r="BF43" s="17">
        <v>0</v>
      </c>
      <c r="BG43" s="17">
        <v>0</v>
      </c>
      <c r="BH43" s="17">
        <v>0</v>
      </c>
      <c r="BI43" s="17">
        <v>0</v>
      </c>
      <c r="BJ43" s="17">
        <v>0</v>
      </c>
      <c r="BK43" s="17">
        <v>0</v>
      </c>
      <c r="BL43" s="17">
        <v>0</v>
      </c>
      <c r="BM43" s="17">
        <v>0</v>
      </c>
      <c r="BN43" s="17">
        <v>0</v>
      </c>
      <c r="BO43" s="17">
        <v>0</v>
      </c>
      <c r="BP43" s="17">
        <v>0</v>
      </c>
      <c r="BQ43" s="17">
        <v>0</v>
      </c>
      <c r="BR43" s="17">
        <v>0</v>
      </c>
      <c r="BS43" s="17">
        <v>0</v>
      </c>
      <c r="BT43" s="17">
        <v>0</v>
      </c>
      <c r="BU43" s="17">
        <v>0</v>
      </c>
      <c r="BV43" s="17">
        <v>0</v>
      </c>
      <c r="BW43" s="17">
        <v>0</v>
      </c>
      <c r="BX43" s="17">
        <v>0</v>
      </c>
      <c r="BY43" s="17">
        <v>0</v>
      </c>
      <c r="BZ43" s="17">
        <v>0</v>
      </c>
      <c r="CA43" s="17">
        <v>0</v>
      </c>
      <c r="CB43" s="17">
        <v>0</v>
      </c>
      <c r="CC43" s="17">
        <v>0</v>
      </c>
      <c r="CD43" s="17">
        <v>0</v>
      </c>
      <c r="CE43" s="17">
        <v>0</v>
      </c>
      <c r="CF43" s="5">
        <f t="shared" si="74"/>
        <v>0</v>
      </c>
      <c r="CG43" s="5">
        <f t="shared" si="75"/>
        <v>0</v>
      </c>
      <c r="CH43" s="5">
        <f t="shared" si="76"/>
        <v>0</v>
      </c>
      <c r="CW43" s="36"/>
    </row>
    <row r="44" spans="1:103" s="2" customFormat="1" ht="12.75" x14ac:dyDescent="0.2">
      <c r="A44" s="96"/>
      <c r="B44" s="92">
        <v>7</v>
      </c>
      <c r="C44" s="17">
        <v>0</v>
      </c>
      <c r="D44" s="17">
        <v>0</v>
      </c>
      <c r="E44" s="17">
        <v>0</v>
      </c>
      <c r="F44" s="17">
        <v>0</v>
      </c>
      <c r="G44" s="17">
        <v>0</v>
      </c>
      <c r="H44" s="17">
        <v>0</v>
      </c>
      <c r="I44" s="17">
        <v>0</v>
      </c>
      <c r="J44" s="17">
        <v>0</v>
      </c>
      <c r="K44" s="17">
        <v>0</v>
      </c>
      <c r="L44" s="17">
        <v>0</v>
      </c>
      <c r="M44" s="17">
        <v>0</v>
      </c>
      <c r="N44" s="17">
        <v>0</v>
      </c>
      <c r="O44" s="17">
        <v>0</v>
      </c>
      <c r="P44" s="17">
        <v>0</v>
      </c>
      <c r="Q44" s="17">
        <v>0</v>
      </c>
      <c r="R44" s="17">
        <v>0</v>
      </c>
      <c r="S44" s="17">
        <v>0</v>
      </c>
      <c r="T44" s="17">
        <v>0</v>
      </c>
      <c r="U44" s="17">
        <v>0</v>
      </c>
      <c r="V44" s="17">
        <v>0</v>
      </c>
      <c r="W44" s="17">
        <v>0</v>
      </c>
      <c r="X44" s="17">
        <v>0</v>
      </c>
      <c r="Y44" s="17">
        <v>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0</v>
      </c>
      <c r="AZ44" s="17">
        <v>0</v>
      </c>
      <c r="BA44" s="17">
        <v>0</v>
      </c>
      <c r="BB44" s="17">
        <v>0</v>
      </c>
      <c r="BC44" s="17">
        <v>0</v>
      </c>
      <c r="BD44" s="17">
        <v>0</v>
      </c>
      <c r="BE44" s="17">
        <v>0</v>
      </c>
      <c r="BF44" s="17">
        <v>0</v>
      </c>
      <c r="BG44" s="17">
        <v>0</v>
      </c>
      <c r="BH44" s="17">
        <v>0</v>
      </c>
      <c r="BI44" s="17">
        <v>0</v>
      </c>
      <c r="BJ44" s="17">
        <v>0</v>
      </c>
      <c r="BK44" s="17">
        <v>0</v>
      </c>
      <c r="BL44" s="17">
        <v>0</v>
      </c>
      <c r="BM44" s="17">
        <v>0</v>
      </c>
      <c r="BN44" s="17">
        <v>0</v>
      </c>
      <c r="BO44" s="17">
        <v>0</v>
      </c>
      <c r="BP44" s="17">
        <v>0</v>
      </c>
      <c r="BQ44" s="17">
        <v>0</v>
      </c>
      <c r="BR44" s="17">
        <v>0</v>
      </c>
      <c r="BS44" s="17">
        <v>0</v>
      </c>
      <c r="BT44" s="17">
        <v>0</v>
      </c>
      <c r="BU44" s="17">
        <v>0</v>
      </c>
      <c r="BV44" s="17">
        <v>0</v>
      </c>
      <c r="BW44" s="17">
        <v>0</v>
      </c>
      <c r="BX44" s="17">
        <v>0</v>
      </c>
      <c r="BY44" s="17">
        <v>0</v>
      </c>
      <c r="BZ44" s="17">
        <v>0</v>
      </c>
      <c r="CA44" s="17">
        <v>0</v>
      </c>
      <c r="CB44" s="17">
        <v>0</v>
      </c>
      <c r="CC44" s="17">
        <v>0</v>
      </c>
      <c r="CD44" s="17">
        <v>0</v>
      </c>
      <c r="CE44" s="17">
        <v>0</v>
      </c>
      <c r="CF44" s="5">
        <f t="shared" si="71"/>
        <v>0</v>
      </c>
      <c r="CG44" s="5">
        <f t="shared" si="72"/>
        <v>0</v>
      </c>
      <c r="CH44" s="5">
        <f t="shared" si="73"/>
        <v>0</v>
      </c>
      <c r="CW44" s="36"/>
    </row>
    <row r="45" spans="1:103" s="2" customFormat="1" ht="12.75" x14ac:dyDescent="0.2">
      <c r="A45" s="96"/>
      <c r="B45" s="92">
        <v>8</v>
      </c>
      <c r="C45" s="17">
        <v>0</v>
      </c>
      <c r="D45" s="17">
        <v>0</v>
      </c>
      <c r="E45" s="17">
        <v>0</v>
      </c>
      <c r="F45" s="17">
        <v>0</v>
      </c>
      <c r="G45" s="17">
        <v>0</v>
      </c>
      <c r="H45" s="17">
        <v>0</v>
      </c>
      <c r="I45" s="17">
        <v>0</v>
      </c>
      <c r="J45" s="17">
        <v>0</v>
      </c>
      <c r="K45" s="17">
        <v>0</v>
      </c>
      <c r="L45" s="17">
        <v>0</v>
      </c>
      <c r="M45" s="17">
        <v>0</v>
      </c>
      <c r="N45" s="17">
        <v>0</v>
      </c>
      <c r="O45" s="17">
        <v>0</v>
      </c>
      <c r="P45" s="17">
        <v>0</v>
      </c>
      <c r="Q45" s="17">
        <v>0</v>
      </c>
      <c r="R45" s="17">
        <v>0</v>
      </c>
      <c r="S45" s="17">
        <v>0</v>
      </c>
      <c r="T45" s="17">
        <v>0</v>
      </c>
      <c r="U45" s="17">
        <v>0</v>
      </c>
      <c r="V45" s="17">
        <v>0</v>
      </c>
      <c r="W45" s="17">
        <v>0</v>
      </c>
      <c r="X45" s="17">
        <v>0</v>
      </c>
      <c r="Y45" s="17">
        <v>0</v>
      </c>
      <c r="Z45" s="17">
        <v>0</v>
      </c>
      <c r="AA45" s="17">
        <v>0</v>
      </c>
      <c r="AB45" s="17">
        <v>0</v>
      </c>
      <c r="AC45" s="17">
        <v>0</v>
      </c>
      <c r="AD45" s="17">
        <v>0</v>
      </c>
      <c r="AE45" s="17">
        <v>0</v>
      </c>
      <c r="AF45" s="17">
        <v>0</v>
      </c>
      <c r="AG45" s="17">
        <v>0</v>
      </c>
      <c r="AH45" s="17">
        <v>0</v>
      </c>
      <c r="AI45" s="17">
        <v>0</v>
      </c>
      <c r="AJ45" s="17">
        <v>0</v>
      </c>
      <c r="AK45" s="17">
        <v>0</v>
      </c>
      <c r="AL45" s="17">
        <v>0</v>
      </c>
      <c r="AM45" s="17">
        <v>0</v>
      </c>
      <c r="AN45" s="17">
        <v>0</v>
      </c>
      <c r="AO45" s="17">
        <v>0</v>
      </c>
      <c r="AP45" s="17">
        <v>0</v>
      </c>
      <c r="AQ45" s="17">
        <v>0</v>
      </c>
      <c r="AR45" s="17">
        <v>0</v>
      </c>
      <c r="AS45" s="17">
        <v>0</v>
      </c>
      <c r="AT45" s="17">
        <v>0</v>
      </c>
      <c r="AU45" s="17">
        <v>0</v>
      </c>
      <c r="AV45" s="17">
        <v>0</v>
      </c>
      <c r="AW45" s="17">
        <v>0</v>
      </c>
      <c r="AX45" s="17">
        <v>0</v>
      </c>
      <c r="AY45" s="17">
        <v>0</v>
      </c>
      <c r="AZ45" s="17">
        <v>0</v>
      </c>
      <c r="BA45" s="17">
        <v>0</v>
      </c>
      <c r="BB45" s="17">
        <v>0</v>
      </c>
      <c r="BC45" s="17">
        <v>0</v>
      </c>
      <c r="BD45" s="17">
        <v>0</v>
      </c>
      <c r="BE45" s="17">
        <v>0</v>
      </c>
      <c r="BF45" s="17">
        <v>0</v>
      </c>
      <c r="BG45" s="17">
        <v>0</v>
      </c>
      <c r="BH45" s="17">
        <v>0</v>
      </c>
      <c r="BI45" s="17">
        <v>0</v>
      </c>
      <c r="BJ45" s="17">
        <v>0</v>
      </c>
      <c r="BK45" s="17">
        <v>0</v>
      </c>
      <c r="BL45" s="17">
        <v>0</v>
      </c>
      <c r="BM45" s="17">
        <v>0</v>
      </c>
      <c r="BN45" s="17">
        <v>0</v>
      </c>
      <c r="BO45" s="17">
        <v>0</v>
      </c>
      <c r="BP45" s="17">
        <v>0</v>
      </c>
      <c r="BQ45" s="17">
        <v>0</v>
      </c>
      <c r="BR45" s="17">
        <v>0</v>
      </c>
      <c r="BS45" s="17">
        <v>0</v>
      </c>
      <c r="BT45" s="17">
        <v>0</v>
      </c>
      <c r="BU45" s="17">
        <v>0</v>
      </c>
      <c r="BV45" s="17">
        <v>0</v>
      </c>
      <c r="BW45" s="17">
        <v>0</v>
      </c>
      <c r="BX45" s="17">
        <v>0</v>
      </c>
      <c r="BY45" s="17">
        <v>0</v>
      </c>
      <c r="BZ45" s="17">
        <v>0</v>
      </c>
      <c r="CA45" s="17">
        <v>0</v>
      </c>
      <c r="CB45" s="17">
        <v>0</v>
      </c>
      <c r="CC45" s="17">
        <v>0</v>
      </c>
      <c r="CD45" s="17">
        <v>0</v>
      </c>
      <c r="CE45" s="17">
        <v>0</v>
      </c>
      <c r="CF45" s="5">
        <f t="shared" si="71"/>
        <v>0</v>
      </c>
      <c r="CG45" s="5">
        <f t="shared" si="72"/>
        <v>0</v>
      </c>
      <c r="CH45" s="5">
        <f t="shared" si="73"/>
        <v>0</v>
      </c>
      <c r="CW45" s="36"/>
    </row>
    <row r="46" spans="1:103" s="2" customFormat="1" ht="12.75" customHeight="1" x14ac:dyDescent="0.2">
      <c r="A46" s="97"/>
      <c r="B46" s="22" t="s">
        <v>9</v>
      </c>
      <c r="C46" s="23">
        <f t="shared" ref="C46:AH46" si="77">AVERAGE(C38:C45)</f>
        <v>0</v>
      </c>
      <c r="D46" s="23">
        <f t="shared" si="77"/>
        <v>0</v>
      </c>
      <c r="E46" s="21">
        <f t="shared" si="77"/>
        <v>0</v>
      </c>
      <c r="F46" s="23">
        <f t="shared" si="77"/>
        <v>0</v>
      </c>
      <c r="G46" s="23">
        <f t="shared" si="77"/>
        <v>0</v>
      </c>
      <c r="H46" s="21">
        <f t="shared" si="77"/>
        <v>0</v>
      </c>
      <c r="I46" s="23">
        <f t="shared" si="77"/>
        <v>0</v>
      </c>
      <c r="J46" s="23">
        <f t="shared" si="77"/>
        <v>0</v>
      </c>
      <c r="K46" s="21">
        <f t="shared" si="77"/>
        <v>0</v>
      </c>
      <c r="L46" s="23">
        <f t="shared" si="77"/>
        <v>0</v>
      </c>
      <c r="M46" s="23">
        <f t="shared" si="77"/>
        <v>0</v>
      </c>
      <c r="N46" s="21">
        <f t="shared" si="77"/>
        <v>0</v>
      </c>
      <c r="O46" s="23">
        <f t="shared" si="77"/>
        <v>0</v>
      </c>
      <c r="P46" s="23">
        <f t="shared" si="77"/>
        <v>0</v>
      </c>
      <c r="Q46" s="21">
        <f t="shared" si="77"/>
        <v>0</v>
      </c>
      <c r="R46" s="23">
        <f t="shared" si="77"/>
        <v>0</v>
      </c>
      <c r="S46" s="23">
        <f t="shared" si="77"/>
        <v>0</v>
      </c>
      <c r="T46" s="21">
        <f t="shared" si="77"/>
        <v>0</v>
      </c>
      <c r="U46" s="23">
        <f t="shared" si="77"/>
        <v>0</v>
      </c>
      <c r="V46" s="23">
        <f t="shared" si="77"/>
        <v>0</v>
      </c>
      <c r="W46" s="21">
        <f t="shared" si="77"/>
        <v>0</v>
      </c>
      <c r="X46" s="23">
        <f t="shared" si="77"/>
        <v>0</v>
      </c>
      <c r="Y46" s="23">
        <f t="shared" si="77"/>
        <v>0</v>
      </c>
      <c r="Z46" s="21">
        <f t="shared" si="77"/>
        <v>0</v>
      </c>
      <c r="AA46" s="23">
        <f t="shared" si="77"/>
        <v>0</v>
      </c>
      <c r="AB46" s="23">
        <f t="shared" si="77"/>
        <v>0</v>
      </c>
      <c r="AC46" s="21">
        <f t="shared" si="77"/>
        <v>0</v>
      </c>
      <c r="AD46" s="23">
        <f t="shared" si="77"/>
        <v>0</v>
      </c>
      <c r="AE46" s="23">
        <f t="shared" si="77"/>
        <v>0</v>
      </c>
      <c r="AF46" s="21">
        <f t="shared" si="77"/>
        <v>0</v>
      </c>
      <c r="AG46" s="32">
        <f t="shared" si="77"/>
        <v>0</v>
      </c>
      <c r="AH46" s="23">
        <f t="shared" si="77"/>
        <v>0</v>
      </c>
      <c r="AI46" s="21">
        <f t="shared" ref="AI46:BN46" si="78">AVERAGE(AI38:AI45)</f>
        <v>0</v>
      </c>
      <c r="AJ46" s="23">
        <f t="shared" si="78"/>
        <v>0</v>
      </c>
      <c r="AK46" s="23">
        <f t="shared" si="78"/>
        <v>0</v>
      </c>
      <c r="AL46" s="21">
        <f t="shared" si="78"/>
        <v>0</v>
      </c>
      <c r="AM46" s="23">
        <f t="shared" si="78"/>
        <v>0</v>
      </c>
      <c r="AN46" s="23">
        <f t="shared" si="78"/>
        <v>0</v>
      </c>
      <c r="AO46" s="21">
        <f t="shared" si="78"/>
        <v>0</v>
      </c>
      <c r="AP46" s="23">
        <f t="shared" si="78"/>
        <v>0</v>
      </c>
      <c r="AQ46" s="23">
        <f t="shared" si="78"/>
        <v>0</v>
      </c>
      <c r="AR46" s="21">
        <f t="shared" si="78"/>
        <v>0</v>
      </c>
      <c r="AS46" s="23">
        <f t="shared" si="78"/>
        <v>0</v>
      </c>
      <c r="AT46" s="23">
        <f t="shared" si="78"/>
        <v>0</v>
      </c>
      <c r="AU46" s="21">
        <f t="shared" si="78"/>
        <v>0</v>
      </c>
      <c r="AV46" s="23">
        <f t="shared" si="78"/>
        <v>0</v>
      </c>
      <c r="AW46" s="23">
        <f t="shared" si="78"/>
        <v>0</v>
      </c>
      <c r="AX46" s="21">
        <f t="shared" si="78"/>
        <v>0</v>
      </c>
      <c r="AY46" s="23">
        <f t="shared" si="78"/>
        <v>0</v>
      </c>
      <c r="AZ46" s="23">
        <f t="shared" si="78"/>
        <v>0</v>
      </c>
      <c r="BA46" s="21">
        <f t="shared" si="78"/>
        <v>0</v>
      </c>
      <c r="BB46" s="23">
        <f t="shared" si="78"/>
        <v>0</v>
      </c>
      <c r="BC46" s="23">
        <f t="shared" si="78"/>
        <v>0</v>
      </c>
      <c r="BD46" s="21">
        <f t="shared" si="78"/>
        <v>0</v>
      </c>
      <c r="BE46" s="23">
        <f t="shared" si="78"/>
        <v>0</v>
      </c>
      <c r="BF46" s="23">
        <f t="shared" si="78"/>
        <v>0</v>
      </c>
      <c r="BG46" s="21">
        <f t="shared" si="78"/>
        <v>0</v>
      </c>
      <c r="BH46" s="23">
        <f t="shared" si="78"/>
        <v>0</v>
      </c>
      <c r="BI46" s="23">
        <f t="shared" si="78"/>
        <v>0</v>
      </c>
      <c r="BJ46" s="21">
        <f t="shared" si="78"/>
        <v>0</v>
      </c>
      <c r="BK46" s="23">
        <f t="shared" si="78"/>
        <v>0</v>
      </c>
      <c r="BL46" s="23">
        <f t="shared" si="78"/>
        <v>0</v>
      </c>
      <c r="BM46" s="21">
        <f t="shared" si="78"/>
        <v>0</v>
      </c>
      <c r="BN46" s="23">
        <f t="shared" si="78"/>
        <v>0</v>
      </c>
      <c r="BO46" s="23">
        <f t="shared" ref="BO46:CE46" si="79">AVERAGE(BO38:BO45)</f>
        <v>0</v>
      </c>
      <c r="BP46" s="21">
        <f t="shared" si="79"/>
        <v>0</v>
      </c>
      <c r="BQ46" s="23">
        <f t="shared" si="79"/>
        <v>0</v>
      </c>
      <c r="BR46" s="23">
        <f t="shared" si="79"/>
        <v>0</v>
      </c>
      <c r="BS46" s="21">
        <f t="shared" si="79"/>
        <v>0</v>
      </c>
      <c r="BT46" s="23">
        <f t="shared" si="79"/>
        <v>0</v>
      </c>
      <c r="BU46" s="23">
        <f t="shared" si="79"/>
        <v>0</v>
      </c>
      <c r="BV46" s="21">
        <f t="shared" si="79"/>
        <v>0</v>
      </c>
      <c r="BW46" s="23">
        <f t="shared" si="79"/>
        <v>0</v>
      </c>
      <c r="BX46" s="23">
        <f t="shared" si="79"/>
        <v>0</v>
      </c>
      <c r="BY46" s="21">
        <f t="shared" si="79"/>
        <v>0</v>
      </c>
      <c r="BZ46" s="23">
        <f t="shared" si="79"/>
        <v>0</v>
      </c>
      <c r="CA46" s="23">
        <f t="shared" si="79"/>
        <v>0</v>
      </c>
      <c r="CB46" s="21">
        <f t="shared" si="79"/>
        <v>0</v>
      </c>
      <c r="CC46" s="23">
        <f t="shared" si="79"/>
        <v>0</v>
      </c>
      <c r="CD46" s="23">
        <f t="shared" si="79"/>
        <v>0</v>
      </c>
      <c r="CE46" s="21">
        <f t="shared" si="79"/>
        <v>0</v>
      </c>
      <c r="CF46" s="7">
        <f t="shared" si="71"/>
        <v>0</v>
      </c>
      <c r="CG46" s="7">
        <f t="shared" si="72"/>
        <v>0</v>
      </c>
      <c r="CH46" s="7">
        <f t="shared" si="73"/>
        <v>0</v>
      </c>
      <c r="CI46" s="2">
        <v>4</v>
      </c>
      <c r="CJ46" s="65">
        <f>AVERAGE(CH38:CH45)</f>
        <v>0</v>
      </c>
      <c r="CW46" s="36"/>
    </row>
    <row r="47" spans="1:103" s="8" customFormat="1" ht="12" customHeight="1" x14ac:dyDescent="0.2">
      <c r="A47" s="43"/>
      <c r="B47" s="44" t="s">
        <v>66</v>
      </c>
      <c r="C47" s="45">
        <f>AVERAGE(C15,C27,C37,C46)</f>
        <v>0</v>
      </c>
      <c r="D47" s="45">
        <f t="shared" ref="D47:BO47" si="80">AVERAGE(D15,D27,D37,D46)</f>
        <v>0</v>
      </c>
      <c r="E47" s="45">
        <f t="shared" si="80"/>
        <v>0</v>
      </c>
      <c r="F47" s="45">
        <f t="shared" si="80"/>
        <v>0</v>
      </c>
      <c r="G47" s="45">
        <f t="shared" si="80"/>
        <v>0</v>
      </c>
      <c r="H47" s="45">
        <f t="shared" si="80"/>
        <v>0</v>
      </c>
      <c r="I47" s="45">
        <f t="shared" si="80"/>
        <v>0</v>
      </c>
      <c r="J47" s="45">
        <f t="shared" si="80"/>
        <v>0</v>
      </c>
      <c r="K47" s="45">
        <f t="shared" si="80"/>
        <v>0</v>
      </c>
      <c r="L47" s="45">
        <f t="shared" si="80"/>
        <v>0</v>
      </c>
      <c r="M47" s="45">
        <f t="shared" si="80"/>
        <v>0</v>
      </c>
      <c r="N47" s="45">
        <f t="shared" si="80"/>
        <v>0</v>
      </c>
      <c r="O47" s="45">
        <f t="shared" si="80"/>
        <v>0</v>
      </c>
      <c r="P47" s="45">
        <f t="shared" si="80"/>
        <v>0</v>
      </c>
      <c r="Q47" s="45">
        <f t="shared" si="80"/>
        <v>0</v>
      </c>
      <c r="R47" s="45">
        <f t="shared" si="80"/>
        <v>0</v>
      </c>
      <c r="S47" s="45">
        <f t="shared" si="80"/>
        <v>0</v>
      </c>
      <c r="T47" s="45">
        <f t="shared" si="80"/>
        <v>0</v>
      </c>
      <c r="U47" s="45">
        <f t="shared" si="80"/>
        <v>0</v>
      </c>
      <c r="V47" s="45">
        <f t="shared" si="80"/>
        <v>0</v>
      </c>
      <c r="W47" s="45">
        <f t="shared" si="80"/>
        <v>0</v>
      </c>
      <c r="X47" s="45">
        <f t="shared" si="80"/>
        <v>0</v>
      </c>
      <c r="Y47" s="45">
        <f t="shared" si="80"/>
        <v>0</v>
      </c>
      <c r="Z47" s="45">
        <f t="shared" si="80"/>
        <v>0</v>
      </c>
      <c r="AA47" s="45">
        <f t="shared" si="80"/>
        <v>0</v>
      </c>
      <c r="AB47" s="45">
        <f t="shared" si="80"/>
        <v>0</v>
      </c>
      <c r="AC47" s="45">
        <f t="shared" si="80"/>
        <v>0</v>
      </c>
      <c r="AD47" s="45">
        <f t="shared" si="80"/>
        <v>0</v>
      </c>
      <c r="AE47" s="45">
        <f t="shared" si="80"/>
        <v>0</v>
      </c>
      <c r="AF47" s="45">
        <f t="shared" si="80"/>
        <v>0</v>
      </c>
      <c r="AG47" s="45">
        <f t="shared" si="80"/>
        <v>0</v>
      </c>
      <c r="AH47" s="45">
        <f t="shared" si="80"/>
        <v>0</v>
      </c>
      <c r="AI47" s="45">
        <f t="shared" si="80"/>
        <v>0</v>
      </c>
      <c r="AJ47" s="45">
        <f t="shared" si="80"/>
        <v>0</v>
      </c>
      <c r="AK47" s="45">
        <f t="shared" si="80"/>
        <v>0</v>
      </c>
      <c r="AL47" s="45">
        <f t="shared" si="80"/>
        <v>0</v>
      </c>
      <c r="AM47" s="45">
        <f t="shared" si="80"/>
        <v>0</v>
      </c>
      <c r="AN47" s="45">
        <f t="shared" si="80"/>
        <v>0</v>
      </c>
      <c r="AO47" s="45">
        <f t="shared" si="80"/>
        <v>0</v>
      </c>
      <c r="AP47" s="45">
        <f t="shared" si="80"/>
        <v>0</v>
      </c>
      <c r="AQ47" s="45">
        <f t="shared" si="80"/>
        <v>0</v>
      </c>
      <c r="AR47" s="45">
        <f t="shared" si="80"/>
        <v>0</v>
      </c>
      <c r="AS47" s="45">
        <f t="shared" si="80"/>
        <v>0</v>
      </c>
      <c r="AT47" s="45">
        <f t="shared" si="80"/>
        <v>0</v>
      </c>
      <c r="AU47" s="45">
        <f t="shared" si="80"/>
        <v>0</v>
      </c>
      <c r="AV47" s="45">
        <f t="shared" si="80"/>
        <v>0</v>
      </c>
      <c r="AW47" s="45">
        <f t="shared" si="80"/>
        <v>0</v>
      </c>
      <c r="AX47" s="45">
        <f t="shared" si="80"/>
        <v>0</v>
      </c>
      <c r="AY47" s="45">
        <f t="shared" si="80"/>
        <v>0</v>
      </c>
      <c r="AZ47" s="45">
        <f t="shared" si="80"/>
        <v>0</v>
      </c>
      <c r="BA47" s="45">
        <f t="shared" si="80"/>
        <v>0</v>
      </c>
      <c r="BB47" s="45">
        <f t="shared" si="80"/>
        <v>0</v>
      </c>
      <c r="BC47" s="45">
        <f t="shared" si="80"/>
        <v>0</v>
      </c>
      <c r="BD47" s="45">
        <f t="shared" si="80"/>
        <v>0</v>
      </c>
      <c r="BE47" s="45">
        <f t="shared" si="80"/>
        <v>0</v>
      </c>
      <c r="BF47" s="45">
        <f t="shared" si="80"/>
        <v>0</v>
      </c>
      <c r="BG47" s="45">
        <f t="shared" si="80"/>
        <v>0</v>
      </c>
      <c r="BH47" s="45">
        <f t="shared" si="80"/>
        <v>0</v>
      </c>
      <c r="BI47" s="45">
        <f t="shared" si="80"/>
        <v>0</v>
      </c>
      <c r="BJ47" s="45">
        <f t="shared" si="80"/>
        <v>0</v>
      </c>
      <c r="BK47" s="45">
        <f t="shared" si="80"/>
        <v>0</v>
      </c>
      <c r="BL47" s="45">
        <f t="shared" si="80"/>
        <v>0</v>
      </c>
      <c r="BM47" s="45">
        <f t="shared" si="80"/>
        <v>0</v>
      </c>
      <c r="BN47" s="45">
        <f t="shared" si="80"/>
        <v>0</v>
      </c>
      <c r="BO47" s="45">
        <f t="shared" si="80"/>
        <v>0</v>
      </c>
      <c r="BP47" s="45">
        <f t="shared" ref="BP47:CE47" si="81">AVERAGE(BP15,BP27,BP37,BP46)</f>
        <v>0</v>
      </c>
      <c r="BQ47" s="45">
        <f t="shared" si="81"/>
        <v>0</v>
      </c>
      <c r="BR47" s="45">
        <f t="shared" si="81"/>
        <v>0</v>
      </c>
      <c r="BS47" s="45">
        <f t="shared" si="81"/>
        <v>0</v>
      </c>
      <c r="BT47" s="45">
        <f t="shared" si="81"/>
        <v>0</v>
      </c>
      <c r="BU47" s="45">
        <f t="shared" si="81"/>
        <v>0</v>
      </c>
      <c r="BV47" s="45">
        <f t="shared" si="81"/>
        <v>0</v>
      </c>
      <c r="BW47" s="45">
        <f t="shared" si="81"/>
        <v>0</v>
      </c>
      <c r="BX47" s="45">
        <f t="shared" si="81"/>
        <v>0</v>
      </c>
      <c r="BY47" s="45">
        <f t="shared" si="81"/>
        <v>0</v>
      </c>
      <c r="BZ47" s="45">
        <f t="shared" si="81"/>
        <v>0</v>
      </c>
      <c r="CA47" s="45">
        <f t="shared" si="81"/>
        <v>0</v>
      </c>
      <c r="CB47" s="45">
        <f t="shared" si="81"/>
        <v>0</v>
      </c>
      <c r="CC47" s="45">
        <f t="shared" si="81"/>
        <v>0</v>
      </c>
      <c r="CD47" s="45">
        <f t="shared" si="81"/>
        <v>0</v>
      </c>
      <c r="CE47" s="45">
        <f t="shared" si="81"/>
        <v>0</v>
      </c>
      <c r="CF47" s="63">
        <f>AVERAGE(CF15,CF27,CF37,CF46)</f>
        <v>0</v>
      </c>
      <c r="CG47" s="63">
        <f t="shared" ref="CG47:CH47" si="82">AVERAGE(CG15,CG27,CG37,CG46)</f>
        <v>0</v>
      </c>
      <c r="CH47" s="63">
        <f t="shared" si="82"/>
        <v>0</v>
      </c>
      <c r="CI47" s="64">
        <f>AVERAGE(E47,H47,K47,N47,Q47,T47,W47,Z47,AC47,AF47,AI47,AL47,AO47,AR47,AU47,AX47,BA47,BD47,BG47,BJ47,BM47,BP47,BS47,BV47,BY47,CB47,CE47)</f>
        <v>0</v>
      </c>
      <c r="CJ47" s="42"/>
      <c r="CK47" s="16"/>
      <c r="CL47" s="16"/>
      <c r="CV47" s="2"/>
      <c r="CW47" s="36"/>
    </row>
    <row r="48" spans="1:103" s="2" customFormat="1" ht="12.75" outlineLevel="1" x14ac:dyDescent="0.2">
      <c r="A48" s="86" t="s">
        <v>60</v>
      </c>
      <c r="B48" s="33">
        <v>1</v>
      </c>
      <c r="C48" s="17">
        <v>0</v>
      </c>
      <c r="D48" s="17">
        <v>0</v>
      </c>
      <c r="E48" s="17">
        <v>0</v>
      </c>
      <c r="F48" s="17">
        <v>0</v>
      </c>
      <c r="G48" s="17">
        <v>0</v>
      </c>
      <c r="H48" s="17">
        <v>0</v>
      </c>
      <c r="I48" s="17">
        <v>0</v>
      </c>
      <c r="J48" s="17">
        <v>0</v>
      </c>
      <c r="K48" s="17">
        <v>0</v>
      </c>
      <c r="L48" s="17">
        <v>0</v>
      </c>
      <c r="M48" s="17">
        <v>0</v>
      </c>
      <c r="N48" s="17">
        <v>0</v>
      </c>
      <c r="O48" s="17">
        <v>0</v>
      </c>
      <c r="P48" s="17">
        <v>0</v>
      </c>
      <c r="Q48" s="17">
        <v>0</v>
      </c>
      <c r="R48" s="17">
        <v>0</v>
      </c>
      <c r="S48" s="17">
        <v>0</v>
      </c>
      <c r="T48" s="17">
        <v>0</v>
      </c>
      <c r="U48" s="17">
        <v>0</v>
      </c>
      <c r="V48" s="17">
        <v>0</v>
      </c>
      <c r="W48" s="17">
        <v>0</v>
      </c>
      <c r="X48" s="17">
        <v>0</v>
      </c>
      <c r="Y48" s="17">
        <v>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0</v>
      </c>
      <c r="AT48" s="17">
        <v>0</v>
      </c>
      <c r="AU48" s="17">
        <v>0</v>
      </c>
      <c r="AV48" s="17">
        <v>0</v>
      </c>
      <c r="AW48" s="17">
        <v>0</v>
      </c>
      <c r="AX48" s="17">
        <v>0</v>
      </c>
      <c r="AY48" s="17">
        <v>0</v>
      </c>
      <c r="AZ48" s="17">
        <v>0</v>
      </c>
      <c r="BA48" s="17">
        <v>0</v>
      </c>
      <c r="BB48" s="17">
        <v>0</v>
      </c>
      <c r="BC48" s="17">
        <v>0</v>
      </c>
      <c r="BD48" s="17">
        <v>0</v>
      </c>
      <c r="BE48" s="17">
        <v>0</v>
      </c>
      <c r="BF48" s="17">
        <v>0</v>
      </c>
      <c r="BG48" s="17">
        <v>0</v>
      </c>
      <c r="BH48" s="17">
        <v>0</v>
      </c>
      <c r="BI48" s="17">
        <v>0</v>
      </c>
      <c r="BJ48" s="17">
        <v>0</v>
      </c>
      <c r="BK48" s="17">
        <v>0</v>
      </c>
      <c r="BL48" s="17">
        <v>0</v>
      </c>
      <c r="BM48" s="17">
        <v>0</v>
      </c>
      <c r="BN48" s="17">
        <v>0</v>
      </c>
      <c r="BO48" s="17">
        <v>0</v>
      </c>
      <c r="BP48" s="17">
        <v>0</v>
      </c>
      <c r="BQ48" s="17">
        <v>0</v>
      </c>
      <c r="BR48" s="17">
        <v>0</v>
      </c>
      <c r="BS48" s="17">
        <v>0</v>
      </c>
      <c r="BT48" s="17">
        <v>0</v>
      </c>
      <c r="BU48" s="17">
        <v>0</v>
      </c>
      <c r="BV48" s="17">
        <v>0</v>
      </c>
      <c r="BW48" s="17">
        <v>0</v>
      </c>
      <c r="BX48" s="17">
        <v>0</v>
      </c>
      <c r="BY48" s="17">
        <v>0</v>
      </c>
      <c r="BZ48" s="17">
        <v>0</v>
      </c>
      <c r="CA48" s="17">
        <v>0</v>
      </c>
      <c r="CB48" s="17">
        <v>0</v>
      </c>
      <c r="CC48" s="17">
        <v>0</v>
      </c>
      <c r="CD48" s="17">
        <v>0</v>
      </c>
      <c r="CE48" s="17">
        <v>0</v>
      </c>
      <c r="CF48" s="5">
        <f t="shared" ref="CF48" si="83">AVERAGE(C48,F48,I48,L48,O48,R48,U48,X48,AA48,AD48,AG48,AJ48,AM48,AP48,AS48,AV48,AY48,BB48,BE48,BH48,BK48,BN48,BQ48,BT48,BW48,BZ48,CC48)</f>
        <v>0</v>
      </c>
      <c r="CG48" s="5">
        <f t="shared" ref="CG48" si="84">AVERAGE(D48,G48,J48,M48,P48,S48,V48,Y48,AB48,AE48,AH48,AK48,AN48,AQ48,AT48,AW48,AZ48,BC48,BF48,BI48,BL48,BO48,BR48,BU48,BX48,CA48,CD48)</f>
        <v>0</v>
      </c>
      <c r="CH48" s="5">
        <f t="shared" ref="CH48" si="85">AVERAGE(E48,H48,K48,N48,Q48,T48,W48,Z48,AC48,AF48,AI48,AL48,AO48,AR48,AU48,AX48,BA48,BD48,BG48,BJ48,BM48,BP48,BS48,BV48,BY48,CB48,CE48)</f>
        <v>0</v>
      </c>
      <c r="CK48" s="16"/>
      <c r="CL48" s="16"/>
      <c r="CV48" s="2">
        <v>28</v>
      </c>
      <c r="CW48" s="38" t="s">
        <v>54</v>
      </c>
      <c r="CX48" s="2" t="s">
        <v>15</v>
      </c>
      <c r="CY48" s="2" t="s">
        <v>28</v>
      </c>
    </row>
    <row r="49" spans="1:103" s="2" customFormat="1" ht="12.75" outlineLevel="1" x14ac:dyDescent="0.2">
      <c r="A49" s="86"/>
      <c r="B49" s="33">
        <v>2</v>
      </c>
      <c r="C49" s="17">
        <v>0</v>
      </c>
      <c r="D49" s="17">
        <v>0</v>
      </c>
      <c r="E49" s="17">
        <v>0</v>
      </c>
      <c r="F49" s="17">
        <v>0</v>
      </c>
      <c r="G49" s="17">
        <v>0</v>
      </c>
      <c r="H49" s="17">
        <v>0</v>
      </c>
      <c r="I49" s="17">
        <v>0</v>
      </c>
      <c r="J49" s="17">
        <v>0</v>
      </c>
      <c r="K49" s="17">
        <v>0</v>
      </c>
      <c r="L49" s="17">
        <v>0</v>
      </c>
      <c r="M49" s="17">
        <v>0</v>
      </c>
      <c r="N49" s="17">
        <v>0</v>
      </c>
      <c r="O49" s="17">
        <v>0</v>
      </c>
      <c r="P49" s="17">
        <v>0</v>
      </c>
      <c r="Q49" s="17">
        <v>0</v>
      </c>
      <c r="R49" s="17">
        <v>0</v>
      </c>
      <c r="S49" s="17">
        <v>0</v>
      </c>
      <c r="T49" s="17">
        <v>0</v>
      </c>
      <c r="U49" s="17">
        <v>0</v>
      </c>
      <c r="V49" s="17">
        <v>0</v>
      </c>
      <c r="W49" s="17">
        <v>0</v>
      </c>
      <c r="X49" s="17">
        <v>0</v>
      </c>
      <c r="Y49" s="17">
        <v>0</v>
      </c>
      <c r="Z49" s="17">
        <v>0</v>
      </c>
      <c r="AA49" s="17">
        <v>0</v>
      </c>
      <c r="AB49" s="17">
        <v>0</v>
      </c>
      <c r="AC49" s="17">
        <v>0</v>
      </c>
      <c r="AD49" s="17">
        <v>0</v>
      </c>
      <c r="AE49" s="17">
        <v>0</v>
      </c>
      <c r="AF49" s="17">
        <v>0</v>
      </c>
      <c r="AG49" s="17">
        <v>0</v>
      </c>
      <c r="AH49" s="17">
        <v>0</v>
      </c>
      <c r="AI49" s="17">
        <v>0</v>
      </c>
      <c r="AJ49" s="17">
        <v>0</v>
      </c>
      <c r="AK49" s="17">
        <v>0</v>
      </c>
      <c r="AL49" s="17">
        <v>0</v>
      </c>
      <c r="AM49" s="17">
        <v>0</v>
      </c>
      <c r="AN49" s="17">
        <v>0</v>
      </c>
      <c r="AO49" s="17">
        <v>0</v>
      </c>
      <c r="AP49" s="17">
        <v>0</v>
      </c>
      <c r="AQ49" s="17">
        <v>0</v>
      </c>
      <c r="AR49" s="17">
        <v>0</v>
      </c>
      <c r="AS49" s="17">
        <v>0</v>
      </c>
      <c r="AT49" s="17">
        <v>0</v>
      </c>
      <c r="AU49" s="17">
        <v>0</v>
      </c>
      <c r="AV49" s="17">
        <v>0</v>
      </c>
      <c r="AW49" s="17">
        <v>0</v>
      </c>
      <c r="AX49" s="17">
        <v>0</v>
      </c>
      <c r="AY49" s="17">
        <v>0</v>
      </c>
      <c r="AZ49" s="17">
        <v>0</v>
      </c>
      <c r="BA49" s="17">
        <v>0</v>
      </c>
      <c r="BB49" s="17">
        <v>0</v>
      </c>
      <c r="BC49" s="17">
        <v>0</v>
      </c>
      <c r="BD49" s="17">
        <v>0</v>
      </c>
      <c r="BE49" s="17">
        <v>0</v>
      </c>
      <c r="BF49" s="17">
        <v>0</v>
      </c>
      <c r="BG49" s="17">
        <v>0</v>
      </c>
      <c r="BH49" s="17">
        <v>0</v>
      </c>
      <c r="BI49" s="17">
        <v>0</v>
      </c>
      <c r="BJ49" s="17">
        <v>0</v>
      </c>
      <c r="BK49" s="17">
        <v>0</v>
      </c>
      <c r="BL49" s="17">
        <v>0</v>
      </c>
      <c r="BM49" s="17">
        <v>0</v>
      </c>
      <c r="BN49" s="17">
        <v>0</v>
      </c>
      <c r="BO49" s="17">
        <v>0</v>
      </c>
      <c r="BP49" s="17">
        <v>0</v>
      </c>
      <c r="BQ49" s="17">
        <v>0</v>
      </c>
      <c r="BR49" s="17">
        <v>0</v>
      </c>
      <c r="BS49" s="17">
        <v>0</v>
      </c>
      <c r="BT49" s="17">
        <v>0</v>
      </c>
      <c r="BU49" s="17">
        <v>0</v>
      </c>
      <c r="BV49" s="17">
        <v>0</v>
      </c>
      <c r="BW49" s="17">
        <v>0</v>
      </c>
      <c r="BX49" s="17">
        <v>0</v>
      </c>
      <c r="BY49" s="17">
        <v>0</v>
      </c>
      <c r="BZ49" s="17">
        <v>0</v>
      </c>
      <c r="CA49" s="17">
        <v>0</v>
      </c>
      <c r="CB49" s="17">
        <v>0</v>
      </c>
      <c r="CC49" s="17">
        <v>0</v>
      </c>
      <c r="CD49" s="17">
        <v>0</v>
      </c>
      <c r="CE49" s="17">
        <v>0</v>
      </c>
      <c r="CF49" s="5">
        <f t="shared" ref="CF49:CF73" si="86">AVERAGE(C49,F49,I49,L49,O49,R49,U49,X49,AA49,AD49,AG49,AJ49,AM49,AP49,AS49,AV49,AY49,BB49,BE49,BH49,BK49,BN49,BQ49,BT49,BW49,BZ49,CC49)</f>
        <v>0</v>
      </c>
      <c r="CG49" s="5">
        <f t="shared" ref="CG49:CG73" si="87">AVERAGE(D49,G49,J49,M49,P49,S49,V49,Y49,AB49,AE49,AH49,AK49,AN49,AQ49,AT49,AW49,AZ49,BC49,BF49,BI49,BL49,BO49,BR49,BU49,BX49,CA49,CD49)</f>
        <v>0</v>
      </c>
      <c r="CH49" s="5">
        <f t="shared" ref="CH49:CH73" si="88">AVERAGE(E49,H49,K49,N49,Q49,T49,W49,Z49,AC49,AF49,AI49,AL49,AO49,AR49,AU49,AX49,BA49,BD49,BG49,BJ49,BM49,BP49,BS49,BV49,BY49,CB49,CE49)</f>
        <v>0</v>
      </c>
      <c r="CK49" s="16"/>
      <c r="CL49" s="16"/>
      <c r="CV49" s="2">
        <v>29</v>
      </c>
      <c r="CW49" s="39" t="s">
        <v>55</v>
      </c>
      <c r="CX49" s="2" t="s">
        <v>56</v>
      </c>
      <c r="CY49" s="2" t="s">
        <v>57</v>
      </c>
    </row>
    <row r="50" spans="1:103" s="8" customFormat="1" ht="21" x14ac:dyDescent="0.2">
      <c r="A50" s="86"/>
      <c r="B50" s="24" t="s">
        <v>4</v>
      </c>
      <c r="C50" s="21">
        <f t="shared" ref="C50:AE50" si="89">AVERAGE(C48:C49)</f>
        <v>0</v>
      </c>
      <c r="D50" s="21">
        <f t="shared" si="89"/>
        <v>0</v>
      </c>
      <c r="E50" s="21">
        <f t="shared" si="89"/>
        <v>0</v>
      </c>
      <c r="F50" s="21">
        <f t="shared" si="89"/>
        <v>0</v>
      </c>
      <c r="G50" s="21">
        <f t="shared" si="89"/>
        <v>0</v>
      </c>
      <c r="H50" s="21">
        <f t="shared" si="89"/>
        <v>0</v>
      </c>
      <c r="I50" s="21">
        <f t="shared" si="89"/>
        <v>0</v>
      </c>
      <c r="J50" s="21">
        <f t="shared" si="89"/>
        <v>0</v>
      </c>
      <c r="K50" s="21">
        <f t="shared" si="89"/>
        <v>0</v>
      </c>
      <c r="L50" s="21">
        <f t="shared" si="89"/>
        <v>0</v>
      </c>
      <c r="M50" s="21">
        <f t="shared" si="89"/>
        <v>0</v>
      </c>
      <c r="N50" s="21">
        <f t="shared" si="89"/>
        <v>0</v>
      </c>
      <c r="O50" s="21">
        <f t="shared" si="89"/>
        <v>0</v>
      </c>
      <c r="P50" s="21">
        <f t="shared" si="89"/>
        <v>0</v>
      </c>
      <c r="Q50" s="21">
        <f t="shared" si="89"/>
        <v>0</v>
      </c>
      <c r="R50" s="21">
        <f t="shared" si="89"/>
        <v>0</v>
      </c>
      <c r="S50" s="21">
        <f t="shared" si="89"/>
        <v>0</v>
      </c>
      <c r="T50" s="21">
        <f t="shared" si="89"/>
        <v>0</v>
      </c>
      <c r="U50" s="21">
        <f t="shared" si="89"/>
        <v>0</v>
      </c>
      <c r="V50" s="21">
        <f t="shared" si="89"/>
        <v>0</v>
      </c>
      <c r="W50" s="21">
        <f t="shared" si="89"/>
        <v>0</v>
      </c>
      <c r="X50" s="21">
        <f t="shared" si="89"/>
        <v>0</v>
      </c>
      <c r="Y50" s="21">
        <f t="shared" si="89"/>
        <v>0</v>
      </c>
      <c r="Z50" s="21">
        <f t="shared" si="89"/>
        <v>0</v>
      </c>
      <c r="AA50" s="21">
        <f t="shared" si="89"/>
        <v>0</v>
      </c>
      <c r="AB50" s="21">
        <f t="shared" si="89"/>
        <v>0</v>
      </c>
      <c r="AC50" s="21">
        <f t="shared" si="89"/>
        <v>0</v>
      </c>
      <c r="AD50" s="21">
        <f t="shared" si="89"/>
        <v>0</v>
      </c>
      <c r="AE50" s="21">
        <f t="shared" si="89"/>
        <v>0</v>
      </c>
      <c r="AF50" s="21">
        <f t="shared" ref="AF50:BK50" si="90">AVERAGE(AF48:AF49)</f>
        <v>0</v>
      </c>
      <c r="AG50" s="31">
        <f t="shared" si="90"/>
        <v>0</v>
      </c>
      <c r="AH50" s="21">
        <f t="shared" si="90"/>
        <v>0</v>
      </c>
      <c r="AI50" s="21">
        <f t="shared" si="90"/>
        <v>0</v>
      </c>
      <c r="AJ50" s="21">
        <f t="shared" si="90"/>
        <v>0</v>
      </c>
      <c r="AK50" s="21">
        <f t="shared" si="90"/>
        <v>0</v>
      </c>
      <c r="AL50" s="21">
        <f t="shared" si="90"/>
        <v>0</v>
      </c>
      <c r="AM50" s="21">
        <f t="shared" si="90"/>
        <v>0</v>
      </c>
      <c r="AN50" s="21">
        <f t="shared" si="90"/>
        <v>0</v>
      </c>
      <c r="AO50" s="21">
        <f t="shared" si="90"/>
        <v>0</v>
      </c>
      <c r="AP50" s="21">
        <f t="shared" si="90"/>
        <v>0</v>
      </c>
      <c r="AQ50" s="21">
        <f t="shared" si="90"/>
        <v>0</v>
      </c>
      <c r="AR50" s="21">
        <f t="shared" si="90"/>
        <v>0</v>
      </c>
      <c r="AS50" s="21">
        <f t="shared" si="90"/>
        <v>0</v>
      </c>
      <c r="AT50" s="21">
        <f t="shared" si="90"/>
        <v>0</v>
      </c>
      <c r="AU50" s="21">
        <f t="shared" si="90"/>
        <v>0</v>
      </c>
      <c r="AV50" s="21">
        <f t="shared" si="90"/>
        <v>0</v>
      </c>
      <c r="AW50" s="21">
        <f t="shared" si="90"/>
        <v>0</v>
      </c>
      <c r="AX50" s="21">
        <f t="shared" si="90"/>
        <v>0</v>
      </c>
      <c r="AY50" s="21">
        <f t="shared" si="90"/>
        <v>0</v>
      </c>
      <c r="AZ50" s="21">
        <f t="shared" si="90"/>
        <v>0</v>
      </c>
      <c r="BA50" s="21">
        <f t="shared" si="90"/>
        <v>0</v>
      </c>
      <c r="BB50" s="21">
        <f t="shared" si="90"/>
        <v>0</v>
      </c>
      <c r="BC50" s="21">
        <f t="shared" si="90"/>
        <v>0</v>
      </c>
      <c r="BD50" s="21">
        <f t="shared" si="90"/>
        <v>0</v>
      </c>
      <c r="BE50" s="21">
        <f t="shared" si="90"/>
        <v>0</v>
      </c>
      <c r="BF50" s="21">
        <f t="shared" si="90"/>
        <v>0</v>
      </c>
      <c r="BG50" s="21">
        <f t="shared" si="90"/>
        <v>0</v>
      </c>
      <c r="BH50" s="21">
        <f t="shared" ref="BH50:BJ50" si="91">AVERAGE(BH48:BH49)</f>
        <v>0</v>
      </c>
      <c r="BI50" s="21">
        <f t="shared" si="91"/>
        <v>0</v>
      </c>
      <c r="BJ50" s="21">
        <f t="shared" si="91"/>
        <v>0</v>
      </c>
      <c r="BK50" s="21">
        <f t="shared" si="90"/>
        <v>0</v>
      </c>
      <c r="BL50" s="21">
        <f t="shared" ref="BL50:CE50" si="92">AVERAGE(BL48:BL49)</f>
        <v>0</v>
      </c>
      <c r="BM50" s="21">
        <f t="shared" si="92"/>
        <v>0</v>
      </c>
      <c r="BN50" s="21">
        <f t="shared" si="92"/>
        <v>0</v>
      </c>
      <c r="BO50" s="21">
        <f t="shared" si="92"/>
        <v>0</v>
      </c>
      <c r="BP50" s="21">
        <f t="shared" si="92"/>
        <v>0</v>
      </c>
      <c r="BQ50" s="21">
        <f t="shared" si="92"/>
        <v>0</v>
      </c>
      <c r="BR50" s="21">
        <f t="shared" si="92"/>
        <v>0</v>
      </c>
      <c r="BS50" s="21">
        <f t="shared" si="92"/>
        <v>0</v>
      </c>
      <c r="BT50" s="21">
        <f t="shared" si="92"/>
        <v>0</v>
      </c>
      <c r="BU50" s="21">
        <f t="shared" si="92"/>
        <v>0</v>
      </c>
      <c r="BV50" s="21">
        <f t="shared" si="92"/>
        <v>0</v>
      </c>
      <c r="BW50" s="21">
        <f t="shared" si="92"/>
        <v>0</v>
      </c>
      <c r="BX50" s="21">
        <f t="shared" si="92"/>
        <v>0</v>
      </c>
      <c r="BY50" s="21">
        <f t="shared" si="92"/>
        <v>0</v>
      </c>
      <c r="BZ50" s="21">
        <f t="shared" si="92"/>
        <v>0</v>
      </c>
      <c r="CA50" s="21">
        <f t="shared" si="92"/>
        <v>0</v>
      </c>
      <c r="CB50" s="21">
        <f t="shared" si="92"/>
        <v>0</v>
      </c>
      <c r="CC50" s="21">
        <f t="shared" si="92"/>
        <v>0</v>
      </c>
      <c r="CD50" s="21">
        <f t="shared" si="92"/>
        <v>0</v>
      </c>
      <c r="CE50" s="21">
        <f t="shared" si="92"/>
        <v>0</v>
      </c>
      <c r="CF50" s="7">
        <f t="shared" si="86"/>
        <v>0</v>
      </c>
      <c r="CG50" s="7">
        <f t="shared" si="87"/>
        <v>0</v>
      </c>
      <c r="CH50" s="7">
        <f t="shared" si="88"/>
        <v>0</v>
      </c>
      <c r="CI50" s="8">
        <v>1</v>
      </c>
      <c r="CJ50" s="65">
        <f>AVERAGE(CH48:CH49)</f>
        <v>0</v>
      </c>
      <c r="CK50" s="16"/>
      <c r="CL50" s="16"/>
      <c r="CW50" s="2"/>
    </row>
    <row r="51" spans="1:103" s="2" customFormat="1" ht="12" outlineLevel="1" x14ac:dyDescent="0.2">
      <c r="A51" s="86" t="s">
        <v>61</v>
      </c>
      <c r="B51" s="33">
        <v>1</v>
      </c>
      <c r="C51" s="17">
        <v>0</v>
      </c>
      <c r="D51" s="17">
        <v>0</v>
      </c>
      <c r="E51" s="17">
        <v>0</v>
      </c>
      <c r="F51" s="17">
        <v>0</v>
      </c>
      <c r="G51" s="17">
        <v>0</v>
      </c>
      <c r="H51" s="17">
        <v>0</v>
      </c>
      <c r="I51" s="17">
        <v>0</v>
      </c>
      <c r="J51" s="17">
        <v>0</v>
      </c>
      <c r="K51" s="17">
        <v>0</v>
      </c>
      <c r="L51" s="17">
        <v>0</v>
      </c>
      <c r="M51" s="17">
        <v>0</v>
      </c>
      <c r="N51" s="17">
        <v>0</v>
      </c>
      <c r="O51" s="17">
        <v>0</v>
      </c>
      <c r="P51" s="17">
        <v>0</v>
      </c>
      <c r="Q51" s="17">
        <v>0</v>
      </c>
      <c r="R51" s="17">
        <v>0</v>
      </c>
      <c r="S51" s="17">
        <v>0</v>
      </c>
      <c r="T51" s="17">
        <v>0</v>
      </c>
      <c r="U51" s="17">
        <v>0</v>
      </c>
      <c r="V51" s="17">
        <v>0</v>
      </c>
      <c r="W51" s="17">
        <v>0</v>
      </c>
      <c r="X51" s="17">
        <v>0</v>
      </c>
      <c r="Y51" s="17">
        <v>0</v>
      </c>
      <c r="Z51" s="17">
        <v>0</v>
      </c>
      <c r="AA51" s="17">
        <v>0</v>
      </c>
      <c r="AB51" s="17">
        <v>0</v>
      </c>
      <c r="AC51" s="17">
        <v>0</v>
      </c>
      <c r="AD51" s="17">
        <v>0</v>
      </c>
      <c r="AE51" s="17">
        <v>0</v>
      </c>
      <c r="AF51" s="17">
        <v>0</v>
      </c>
      <c r="AG51" s="17">
        <v>0</v>
      </c>
      <c r="AH51" s="17">
        <v>0</v>
      </c>
      <c r="AI51" s="17">
        <v>0</v>
      </c>
      <c r="AJ51" s="17">
        <v>0</v>
      </c>
      <c r="AK51" s="17">
        <v>0</v>
      </c>
      <c r="AL51" s="17">
        <v>0</v>
      </c>
      <c r="AM51" s="17">
        <v>0</v>
      </c>
      <c r="AN51" s="17">
        <v>0</v>
      </c>
      <c r="AO51" s="17">
        <v>0</v>
      </c>
      <c r="AP51" s="17">
        <v>0</v>
      </c>
      <c r="AQ51" s="17">
        <v>0</v>
      </c>
      <c r="AR51" s="17">
        <v>0</v>
      </c>
      <c r="AS51" s="17">
        <v>0</v>
      </c>
      <c r="AT51" s="17">
        <v>0</v>
      </c>
      <c r="AU51" s="17">
        <v>0</v>
      </c>
      <c r="AV51" s="17">
        <v>0</v>
      </c>
      <c r="AW51" s="17">
        <v>0</v>
      </c>
      <c r="AX51" s="17">
        <v>0</v>
      </c>
      <c r="AY51" s="17">
        <v>0</v>
      </c>
      <c r="AZ51" s="17">
        <v>0</v>
      </c>
      <c r="BA51" s="17">
        <v>0</v>
      </c>
      <c r="BB51" s="17">
        <v>0</v>
      </c>
      <c r="BC51" s="17">
        <v>0</v>
      </c>
      <c r="BD51" s="17">
        <v>0</v>
      </c>
      <c r="BE51" s="17">
        <v>0</v>
      </c>
      <c r="BF51" s="17">
        <v>0</v>
      </c>
      <c r="BG51" s="17">
        <v>0</v>
      </c>
      <c r="BH51" s="17">
        <v>0</v>
      </c>
      <c r="BI51" s="17">
        <v>0</v>
      </c>
      <c r="BJ51" s="17">
        <v>0</v>
      </c>
      <c r="BK51" s="17">
        <v>0</v>
      </c>
      <c r="BL51" s="17">
        <v>0</v>
      </c>
      <c r="BM51" s="17">
        <v>0</v>
      </c>
      <c r="BN51" s="17">
        <v>0</v>
      </c>
      <c r="BO51" s="17">
        <v>0</v>
      </c>
      <c r="BP51" s="17">
        <v>0</v>
      </c>
      <c r="BQ51" s="17">
        <v>0</v>
      </c>
      <c r="BR51" s="17">
        <v>0</v>
      </c>
      <c r="BS51" s="17">
        <v>0</v>
      </c>
      <c r="BT51" s="17">
        <v>0</v>
      </c>
      <c r="BU51" s="17">
        <v>0</v>
      </c>
      <c r="BV51" s="17">
        <v>0</v>
      </c>
      <c r="BW51" s="17">
        <v>0</v>
      </c>
      <c r="BX51" s="17">
        <v>0</v>
      </c>
      <c r="BY51" s="17">
        <v>0</v>
      </c>
      <c r="BZ51" s="17">
        <v>0</v>
      </c>
      <c r="CA51" s="17">
        <v>0</v>
      </c>
      <c r="CB51" s="17">
        <v>0</v>
      </c>
      <c r="CC51" s="17">
        <v>0</v>
      </c>
      <c r="CD51" s="17">
        <v>0</v>
      </c>
      <c r="CE51" s="17">
        <v>0</v>
      </c>
      <c r="CF51" s="5">
        <f t="shared" si="86"/>
        <v>0</v>
      </c>
      <c r="CG51" s="5">
        <f t="shared" si="87"/>
        <v>0</v>
      </c>
      <c r="CH51" s="5">
        <f t="shared" si="88"/>
        <v>0</v>
      </c>
      <c r="CK51" s="16"/>
      <c r="CL51" s="16"/>
    </row>
    <row r="52" spans="1:103" s="2" customFormat="1" ht="12" outlineLevel="1" x14ac:dyDescent="0.2">
      <c r="A52" s="86"/>
      <c r="B52" s="33">
        <v>3</v>
      </c>
      <c r="C52" s="17">
        <v>0</v>
      </c>
      <c r="D52" s="17">
        <v>0</v>
      </c>
      <c r="E52" s="17">
        <v>0</v>
      </c>
      <c r="F52" s="17">
        <v>0</v>
      </c>
      <c r="G52" s="17">
        <v>0</v>
      </c>
      <c r="H52" s="17">
        <v>0</v>
      </c>
      <c r="I52" s="17">
        <v>0</v>
      </c>
      <c r="J52" s="17">
        <v>0</v>
      </c>
      <c r="K52" s="17">
        <v>0</v>
      </c>
      <c r="L52" s="17">
        <v>0</v>
      </c>
      <c r="M52" s="17">
        <v>0</v>
      </c>
      <c r="N52" s="17">
        <v>0</v>
      </c>
      <c r="O52" s="17">
        <v>0</v>
      </c>
      <c r="P52" s="17">
        <v>0</v>
      </c>
      <c r="Q52" s="17">
        <v>0</v>
      </c>
      <c r="R52" s="17">
        <v>0</v>
      </c>
      <c r="S52" s="17">
        <v>0</v>
      </c>
      <c r="T52" s="17">
        <v>0</v>
      </c>
      <c r="U52" s="17">
        <v>0</v>
      </c>
      <c r="V52" s="17">
        <v>0</v>
      </c>
      <c r="W52" s="17">
        <v>0</v>
      </c>
      <c r="X52" s="17">
        <v>0</v>
      </c>
      <c r="Y52" s="17">
        <v>0</v>
      </c>
      <c r="Z52" s="17">
        <v>0</v>
      </c>
      <c r="AA52" s="17">
        <v>0</v>
      </c>
      <c r="AB52" s="17">
        <v>0</v>
      </c>
      <c r="AC52" s="17">
        <v>0</v>
      </c>
      <c r="AD52" s="17">
        <v>0</v>
      </c>
      <c r="AE52" s="17">
        <v>0</v>
      </c>
      <c r="AF52" s="17">
        <v>0</v>
      </c>
      <c r="AG52" s="17">
        <v>0</v>
      </c>
      <c r="AH52" s="17">
        <v>0</v>
      </c>
      <c r="AI52" s="17">
        <v>0</v>
      </c>
      <c r="AJ52" s="17">
        <v>0</v>
      </c>
      <c r="AK52" s="17">
        <v>0</v>
      </c>
      <c r="AL52" s="17">
        <v>0</v>
      </c>
      <c r="AM52" s="17">
        <v>0</v>
      </c>
      <c r="AN52" s="17">
        <v>0</v>
      </c>
      <c r="AO52" s="17">
        <v>0</v>
      </c>
      <c r="AP52" s="17">
        <v>0</v>
      </c>
      <c r="AQ52" s="17">
        <v>0</v>
      </c>
      <c r="AR52" s="17">
        <v>0</v>
      </c>
      <c r="AS52" s="17">
        <v>0</v>
      </c>
      <c r="AT52" s="17">
        <v>0</v>
      </c>
      <c r="AU52" s="17">
        <v>0</v>
      </c>
      <c r="AV52" s="17">
        <v>0</v>
      </c>
      <c r="AW52" s="17">
        <v>0</v>
      </c>
      <c r="AX52" s="17">
        <v>0</v>
      </c>
      <c r="AY52" s="17">
        <v>0</v>
      </c>
      <c r="AZ52" s="17">
        <v>0</v>
      </c>
      <c r="BA52" s="17">
        <v>0</v>
      </c>
      <c r="BB52" s="17">
        <v>0</v>
      </c>
      <c r="BC52" s="17">
        <v>0</v>
      </c>
      <c r="BD52" s="17">
        <v>0</v>
      </c>
      <c r="BE52" s="17">
        <v>0</v>
      </c>
      <c r="BF52" s="17">
        <v>0</v>
      </c>
      <c r="BG52" s="17">
        <v>0</v>
      </c>
      <c r="BH52" s="17">
        <v>0</v>
      </c>
      <c r="BI52" s="17">
        <v>0</v>
      </c>
      <c r="BJ52" s="17">
        <v>0</v>
      </c>
      <c r="BK52" s="17">
        <v>0</v>
      </c>
      <c r="BL52" s="17">
        <v>0</v>
      </c>
      <c r="BM52" s="17">
        <v>0</v>
      </c>
      <c r="BN52" s="17">
        <v>0</v>
      </c>
      <c r="BO52" s="17">
        <v>0</v>
      </c>
      <c r="BP52" s="17">
        <v>0</v>
      </c>
      <c r="BQ52" s="17">
        <v>0</v>
      </c>
      <c r="BR52" s="17">
        <v>0</v>
      </c>
      <c r="BS52" s="17">
        <v>0</v>
      </c>
      <c r="BT52" s="17">
        <v>0</v>
      </c>
      <c r="BU52" s="17">
        <v>0</v>
      </c>
      <c r="BV52" s="17">
        <v>0</v>
      </c>
      <c r="BW52" s="17">
        <v>0</v>
      </c>
      <c r="BX52" s="17">
        <v>0</v>
      </c>
      <c r="BY52" s="17">
        <v>0</v>
      </c>
      <c r="BZ52" s="17">
        <v>0</v>
      </c>
      <c r="CA52" s="17">
        <v>0</v>
      </c>
      <c r="CB52" s="17">
        <v>0</v>
      </c>
      <c r="CC52" s="17">
        <v>0</v>
      </c>
      <c r="CD52" s="17">
        <v>0</v>
      </c>
      <c r="CE52" s="17">
        <v>0</v>
      </c>
      <c r="CF52" s="5">
        <f t="shared" si="86"/>
        <v>0</v>
      </c>
      <c r="CG52" s="5">
        <f t="shared" si="87"/>
        <v>0</v>
      </c>
      <c r="CH52" s="5">
        <f t="shared" si="88"/>
        <v>0</v>
      </c>
      <c r="CK52" s="16"/>
      <c r="CL52" s="16"/>
    </row>
    <row r="53" spans="1:103" s="8" customFormat="1" ht="12.6" customHeight="1" x14ac:dyDescent="0.2">
      <c r="A53" s="86"/>
      <c r="B53" s="24" t="s">
        <v>4</v>
      </c>
      <c r="C53" s="21">
        <f>AVERAGE(C51:C52)</f>
        <v>0</v>
      </c>
      <c r="D53" s="21">
        <f>AVERAGE(D51:D52)</f>
        <v>0</v>
      </c>
      <c r="E53" s="21">
        <f>AVERAGE(E51:E52)</f>
        <v>0</v>
      </c>
      <c r="F53" s="21">
        <f>AVERAGE(F51:F52)</f>
        <v>0</v>
      </c>
      <c r="G53" s="21">
        <f>AVERAGE(G51:G52)</f>
        <v>0</v>
      </c>
      <c r="H53" s="21">
        <f>AVERAGE(H51:H52)</f>
        <v>0</v>
      </c>
      <c r="I53" s="21">
        <f>AVERAGE(I51:I52)</f>
        <v>0</v>
      </c>
      <c r="J53" s="21">
        <f>AVERAGE(J51:J52)</f>
        <v>0</v>
      </c>
      <c r="K53" s="21">
        <f>AVERAGE(K51:K52)</f>
        <v>0</v>
      </c>
      <c r="L53" s="21">
        <f>AVERAGE(L51:L52)</f>
        <v>0</v>
      </c>
      <c r="M53" s="21">
        <f>AVERAGE(M51:M52)</f>
        <v>0</v>
      </c>
      <c r="N53" s="21">
        <f>AVERAGE(N51:N52)</f>
        <v>0</v>
      </c>
      <c r="O53" s="21">
        <f>AVERAGE(O51:O52)</f>
        <v>0</v>
      </c>
      <c r="P53" s="21">
        <f>AVERAGE(P51:P52)</f>
        <v>0</v>
      </c>
      <c r="Q53" s="21">
        <f>AVERAGE(Q51:Q52)</f>
        <v>0</v>
      </c>
      <c r="R53" s="21">
        <f>AVERAGE(R51:R52)</f>
        <v>0</v>
      </c>
      <c r="S53" s="21">
        <f>AVERAGE(S51:S52)</f>
        <v>0</v>
      </c>
      <c r="T53" s="21">
        <f>AVERAGE(T51:T52)</f>
        <v>0</v>
      </c>
      <c r="U53" s="21">
        <f>AVERAGE(U51:U52)</f>
        <v>0</v>
      </c>
      <c r="V53" s="21">
        <f>AVERAGE(V51:V52)</f>
        <v>0</v>
      </c>
      <c r="W53" s="21">
        <f>AVERAGE(W51:W52)</f>
        <v>0</v>
      </c>
      <c r="X53" s="21">
        <f>AVERAGE(X51:X52)</f>
        <v>0</v>
      </c>
      <c r="Y53" s="21">
        <f>AVERAGE(Y51:Y52)</f>
        <v>0</v>
      </c>
      <c r="Z53" s="21">
        <f>AVERAGE(Z51:Z52)</f>
        <v>0</v>
      </c>
      <c r="AA53" s="21">
        <f>AVERAGE(AA51:AA52)</f>
        <v>0</v>
      </c>
      <c r="AB53" s="21">
        <f>AVERAGE(AB51:AB52)</f>
        <v>0</v>
      </c>
      <c r="AC53" s="21">
        <f>AVERAGE(AC51:AC52)</f>
        <v>0</v>
      </c>
      <c r="AD53" s="21">
        <f>AVERAGE(AD51:AD52)</f>
        <v>0</v>
      </c>
      <c r="AE53" s="21">
        <f>AVERAGE(AE51:AE52)</f>
        <v>0</v>
      </c>
      <c r="AF53" s="21">
        <f>AVERAGE(AF51:AF52)</f>
        <v>0</v>
      </c>
      <c r="AG53" s="31">
        <f>AVERAGE(AG51:AG52)</f>
        <v>0</v>
      </c>
      <c r="AH53" s="21">
        <f>AVERAGE(AH51:AH52)</f>
        <v>0</v>
      </c>
      <c r="AI53" s="21">
        <f>AVERAGE(AI51:AI52)</f>
        <v>0</v>
      </c>
      <c r="AJ53" s="21">
        <f>AVERAGE(AJ51:AJ52)</f>
        <v>0</v>
      </c>
      <c r="AK53" s="21">
        <f>AVERAGE(AK51:AK52)</f>
        <v>0</v>
      </c>
      <c r="AL53" s="21">
        <f>AVERAGE(AL51:AL52)</f>
        <v>0</v>
      </c>
      <c r="AM53" s="21">
        <f>AVERAGE(AM51:AM52)</f>
        <v>0</v>
      </c>
      <c r="AN53" s="21">
        <f>AVERAGE(AN51:AN52)</f>
        <v>0</v>
      </c>
      <c r="AO53" s="21">
        <f>AVERAGE(AO51:AO52)</f>
        <v>0</v>
      </c>
      <c r="AP53" s="21">
        <f>AVERAGE(AP51:AP52)</f>
        <v>0</v>
      </c>
      <c r="AQ53" s="21">
        <f>AVERAGE(AQ51:AQ52)</f>
        <v>0</v>
      </c>
      <c r="AR53" s="21">
        <f>AVERAGE(AR51:AR52)</f>
        <v>0</v>
      </c>
      <c r="AS53" s="21">
        <f>AVERAGE(AS51:AS52)</f>
        <v>0</v>
      </c>
      <c r="AT53" s="21">
        <f>AVERAGE(AT51:AT52)</f>
        <v>0</v>
      </c>
      <c r="AU53" s="21">
        <f>AVERAGE(AU51:AU52)</f>
        <v>0</v>
      </c>
      <c r="AV53" s="21">
        <f>AVERAGE(AV51:AV52)</f>
        <v>0</v>
      </c>
      <c r="AW53" s="21">
        <f>AVERAGE(AW51:AW52)</f>
        <v>0</v>
      </c>
      <c r="AX53" s="21">
        <f>AVERAGE(AX51:AX52)</f>
        <v>0</v>
      </c>
      <c r="AY53" s="21">
        <f>AVERAGE(AY51:AY52)</f>
        <v>0</v>
      </c>
      <c r="AZ53" s="21">
        <f>AVERAGE(AZ51:AZ52)</f>
        <v>0</v>
      </c>
      <c r="BA53" s="21">
        <f>AVERAGE(BA51:BA52)</f>
        <v>0</v>
      </c>
      <c r="BB53" s="21">
        <f>AVERAGE(BB51:BB52)</f>
        <v>0</v>
      </c>
      <c r="BC53" s="21">
        <f>AVERAGE(BC51:BC52)</f>
        <v>0</v>
      </c>
      <c r="BD53" s="21">
        <f>AVERAGE(BD51:BD52)</f>
        <v>0</v>
      </c>
      <c r="BE53" s="21">
        <f>AVERAGE(BE51:BE52)</f>
        <v>0</v>
      </c>
      <c r="BF53" s="21">
        <f>AVERAGE(BF51:BF52)</f>
        <v>0</v>
      </c>
      <c r="BG53" s="21">
        <f>AVERAGE(BG51:BG52)</f>
        <v>0</v>
      </c>
      <c r="BH53" s="21">
        <f>AVERAGE(BH51:BH52)</f>
        <v>0</v>
      </c>
      <c r="BI53" s="21">
        <f>AVERAGE(BI51:BI52)</f>
        <v>0</v>
      </c>
      <c r="BJ53" s="21">
        <f>AVERAGE(BJ51:BJ52)</f>
        <v>0</v>
      </c>
      <c r="BK53" s="21">
        <f>AVERAGE(BK51:BK52)</f>
        <v>0</v>
      </c>
      <c r="BL53" s="21">
        <f>AVERAGE(BL51:BL52)</f>
        <v>0</v>
      </c>
      <c r="BM53" s="21">
        <f>AVERAGE(BM51:BM52)</f>
        <v>0</v>
      </c>
      <c r="BN53" s="21">
        <f>AVERAGE(BN51:BN52)</f>
        <v>0</v>
      </c>
      <c r="BO53" s="21">
        <f>AVERAGE(BO51:BO52)</f>
        <v>0</v>
      </c>
      <c r="BP53" s="21">
        <f>AVERAGE(BP51:BP52)</f>
        <v>0</v>
      </c>
      <c r="BQ53" s="21">
        <f>AVERAGE(BQ51:BQ52)</f>
        <v>0</v>
      </c>
      <c r="BR53" s="21">
        <f>AVERAGE(BR51:BR52)</f>
        <v>0</v>
      </c>
      <c r="BS53" s="21">
        <f>AVERAGE(BS51:BS52)</f>
        <v>0</v>
      </c>
      <c r="BT53" s="21">
        <f>AVERAGE(BT51:BT52)</f>
        <v>0</v>
      </c>
      <c r="BU53" s="21">
        <f>AVERAGE(BU51:BU52)</f>
        <v>0</v>
      </c>
      <c r="BV53" s="21">
        <f>AVERAGE(BV51:BV52)</f>
        <v>0</v>
      </c>
      <c r="BW53" s="21">
        <f>AVERAGE(BW51:BW52)</f>
        <v>0</v>
      </c>
      <c r="BX53" s="21">
        <f>AVERAGE(BX51:BX52)</f>
        <v>0</v>
      </c>
      <c r="BY53" s="21">
        <f>AVERAGE(BY51:BY52)</f>
        <v>0</v>
      </c>
      <c r="BZ53" s="21">
        <f>AVERAGE(BZ51:BZ52)</f>
        <v>0</v>
      </c>
      <c r="CA53" s="21">
        <f>AVERAGE(CA51:CA52)</f>
        <v>0</v>
      </c>
      <c r="CB53" s="21">
        <f>AVERAGE(CB51:CB52)</f>
        <v>0</v>
      </c>
      <c r="CC53" s="21">
        <f>AVERAGE(CC51:CC52)</f>
        <v>0</v>
      </c>
      <c r="CD53" s="21">
        <f>AVERAGE(CD51:CD52)</f>
        <v>0</v>
      </c>
      <c r="CE53" s="21">
        <f>AVERAGE(CE51:CE52)</f>
        <v>0</v>
      </c>
      <c r="CF53" s="7">
        <f t="shared" si="86"/>
        <v>0</v>
      </c>
      <c r="CG53" s="7">
        <f t="shared" si="87"/>
        <v>0</v>
      </c>
      <c r="CH53" s="7">
        <f t="shared" si="88"/>
        <v>0</v>
      </c>
      <c r="CI53" s="8">
        <v>2</v>
      </c>
      <c r="CJ53" s="65">
        <f>AVERAGE(CH51:CH52)</f>
        <v>0</v>
      </c>
    </row>
    <row r="54" spans="1:103" s="2" customFormat="1" ht="12" outlineLevel="1" x14ac:dyDescent="0.2">
      <c r="A54" s="86" t="s">
        <v>62</v>
      </c>
      <c r="B54" s="33">
        <v>1</v>
      </c>
      <c r="C54" s="17">
        <v>0</v>
      </c>
      <c r="D54" s="17">
        <v>0</v>
      </c>
      <c r="E54" s="17">
        <v>0</v>
      </c>
      <c r="F54" s="17">
        <v>0</v>
      </c>
      <c r="G54" s="17">
        <v>0</v>
      </c>
      <c r="H54" s="17">
        <v>0</v>
      </c>
      <c r="I54" s="17">
        <v>0</v>
      </c>
      <c r="J54" s="17">
        <v>0</v>
      </c>
      <c r="K54" s="17">
        <v>0</v>
      </c>
      <c r="L54" s="17">
        <v>0</v>
      </c>
      <c r="M54" s="17">
        <v>0</v>
      </c>
      <c r="N54" s="17">
        <v>0</v>
      </c>
      <c r="O54" s="17">
        <v>0</v>
      </c>
      <c r="P54" s="17">
        <v>0</v>
      </c>
      <c r="Q54" s="17">
        <v>0</v>
      </c>
      <c r="R54" s="17">
        <v>0</v>
      </c>
      <c r="S54" s="17">
        <v>0</v>
      </c>
      <c r="T54" s="17">
        <v>0</v>
      </c>
      <c r="U54" s="17">
        <v>0</v>
      </c>
      <c r="V54" s="17">
        <v>0</v>
      </c>
      <c r="W54" s="17">
        <v>0</v>
      </c>
      <c r="X54" s="17">
        <v>0</v>
      </c>
      <c r="Y54" s="17">
        <v>0</v>
      </c>
      <c r="Z54" s="17">
        <v>0</v>
      </c>
      <c r="AA54" s="17">
        <v>0</v>
      </c>
      <c r="AB54" s="17">
        <v>0</v>
      </c>
      <c r="AC54" s="17">
        <v>0</v>
      </c>
      <c r="AD54" s="17">
        <v>0</v>
      </c>
      <c r="AE54" s="17">
        <v>0</v>
      </c>
      <c r="AF54" s="17">
        <v>0</v>
      </c>
      <c r="AG54" s="17">
        <v>0</v>
      </c>
      <c r="AH54" s="17">
        <v>0</v>
      </c>
      <c r="AI54" s="17">
        <v>0</v>
      </c>
      <c r="AJ54" s="17">
        <v>0</v>
      </c>
      <c r="AK54" s="17">
        <v>0</v>
      </c>
      <c r="AL54" s="17">
        <v>0</v>
      </c>
      <c r="AM54" s="17">
        <v>0</v>
      </c>
      <c r="AN54" s="17">
        <v>0</v>
      </c>
      <c r="AO54" s="17">
        <v>0</v>
      </c>
      <c r="AP54" s="17">
        <v>0</v>
      </c>
      <c r="AQ54" s="17">
        <v>0</v>
      </c>
      <c r="AR54" s="17">
        <v>0</v>
      </c>
      <c r="AS54" s="17">
        <v>0</v>
      </c>
      <c r="AT54" s="17">
        <v>0</v>
      </c>
      <c r="AU54" s="17">
        <v>0</v>
      </c>
      <c r="AV54" s="17">
        <v>0</v>
      </c>
      <c r="AW54" s="17">
        <v>0</v>
      </c>
      <c r="AX54" s="17">
        <v>0</v>
      </c>
      <c r="AY54" s="17">
        <v>0</v>
      </c>
      <c r="AZ54" s="17">
        <v>0</v>
      </c>
      <c r="BA54" s="17">
        <v>0</v>
      </c>
      <c r="BB54" s="17">
        <v>0</v>
      </c>
      <c r="BC54" s="17">
        <v>0</v>
      </c>
      <c r="BD54" s="17">
        <v>0</v>
      </c>
      <c r="BE54" s="17">
        <v>0</v>
      </c>
      <c r="BF54" s="17">
        <v>0</v>
      </c>
      <c r="BG54" s="17">
        <v>0</v>
      </c>
      <c r="BH54" s="17">
        <v>0</v>
      </c>
      <c r="BI54" s="17">
        <v>0</v>
      </c>
      <c r="BJ54" s="17">
        <v>0</v>
      </c>
      <c r="BK54" s="17">
        <v>0</v>
      </c>
      <c r="BL54" s="17">
        <v>0</v>
      </c>
      <c r="BM54" s="17">
        <v>0</v>
      </c>
      <c r="BN54" s="17">
        <v>0</v>
      </c>
      <c r="BO54" s="17">
        <v>0</v>
      </c>
      <c r="BP54" s="17">
        <v>0</v>
      </c>
      <c r="BQ54" s="17">
        <v>0</v>
      </c>
      <c r="BR54" s="17">
        <v>0</v>
      </c>
      <c r="BS54" s="17">
        <v>0</v>
      </c>
      <c r="BT54" s="17">
        <v>0</v>
      </c>
      <c r="BU54" s="17">
        <v>0</v>
      </c>
      <c r="BV54" s="17">
        <v>0</v>
      </c>
      <c r="BW54" s="17">
        <v>0</v>
      </c>
      <c r="BX54" s="17">
        <v>0</v>
      </c>
      <c r="BY54" s="17">
        <v>0</v>
      </c>
      <c r="BZ54" s="17">
        <v>0</v>
      </c>
      <c r="CA54" s="17">
        <v>0</v>
      </c>
      <c r="CB54" s="17">
        <v>0</v>
      </c>
      <c r="CC54" s="17">
        <v>0</v>
      </c>
      <c r="CD54" s="17">
        <v>0</v>
      </c>
      <c r="CE54" s="17">
        <v>0</v>
      </c>
      <c r="CF54" s="5">
        <f t="shared" si="86"/>
        <v>0</v>
      </c>
      <c r="CG54" s="5">
        <f t="shared" si="87"/>
        <v>0</v>
      </c>
      <c r="CH54" s="5">
        <f t="shared" si="88"/>
        <v>0</v>
      </c>
    </row>
    <row r="55" spans="1:103" s="2" customFormat="1" ht="12" outlineLevel="1" x14ac:dyDescent="0.2">
      <c r="A55" s="86"/>
      <c r="B55" s="33">
        <v>3</v>
      </c>
      <c r="C55" s="17">
        <v>0</v>
      </c>
      <c r="D55" s="17">
        <v>0</v>
      </c>
      <c r="E55" s="17">
        <v>0</v>
      </c>
      <c r="F55" s="17">
        <v>0</v>
      </c>
      <c r="G55" s="17">
        <v>0</v>
      </c>
      <c r="H55" s="17">
        <v>0</v>
      </c>
      <c r="I55" s="17">
        <v>0</v>
      </c>
      <c r="J55" s="17">
        <v>0</v>
      </c>
      <c r="K55" s="17">
        <v>0</v>
      </c>
      <c r="L55" s="17">
        <v>0</v>
      </c>
      <c r="M55" s="17">
        <v>0</v>
      </c>
      <c r="N55" s="17">
        <v>0</v>
      </c>
      <c r="O55" s="17">
        <v>0</v>
      </c>
      <c r="P55" s="17">
        <v>0</v>
      </c>
      <c r="Q55" s="17">
        <v>0</v>
      </c>
      <c r="R55" s="17">
        <v>0</v>
      </c>
      <c r="S55" s="17">
        <v>0</v>
      </c>
      <c r="T55" s="17">
        <v>0</v>
      </c>
      <c r="U55" s="17">
        <v>0</v>
      </c>
      <c r="V55" s="17">
        <v>0</v>
      </c>
      <c r="W55" s="17">
        <v>0</v>
      </c>
      <c r="X55" s="17">
        <v>0</v>
      </c>
      <c r="Y55" s="17">
        <v>0</v>
      </c>
      <c r="Z55" s="17">
        <v>0</v>
      </c>
      <c r="AA55" s="17">
        <v>0</v>
      </c>
      <c r="AB55" s="17">
        <v>0</v>
      </c>
      <c r="AC55" s="17">
        <v>0</v>
      </c>
      <c r="AD55" s="17">
        <v>0</v>
      </c>
      <c r="AE55" s="17">
        <v>0</v>
      </c>
      <c r="AF55" s="17">
        <v>0</v>
      </c>
      <c r="AG55" s="17">
        <v>0</v>
      </c>
      <c r="AH55" s="17">
        <v>0</v>
      </c>
      <c r="AI55" s="17">
        <v>0</v>
      </c>
      <c r="AJ55" s="17">
        <v>0</v>
      </c>
      <c r="AK55" s="17">
        <v>0</v>
      </c>
      <c r="AL55" s="17">
        <v>0</v>
      </c>
      <c r="AM55" s="17">
        <v>0</v>
      </c>
      <c r="AN55" s="17">
        <v>0</v>
      </c>
      <c r="AO55" s="17">
        <v>0</v>
      </c>
      <c r="AP55" s="17">
        <v>0</v>
      </c>
      <c r="AQ55" s="17">
        <v>0</v>
      </c>
      <c r="AR55" s="17">
        <v>0</v>
      </c>
      <c r="AS55" s="17">
        <v>0</v>
      </c>
      <c r="AT55" s="17">
        <v>0</v>
      </c>
      <c r="AU55" s="17">
        <v>0</v>
      </c>
      <c r="AV55" s="17">
        <v>0</v>
      </c>
      <c r="AW55" s="17">
        <v>0</v>
      </c>
      <c r="AX55" s="17">
        <v>0</v>
      </c>
      <c r="AY55" s="17">
        <v>0</v>
      </c>
      <c r="AZ55" s="17">
        <v>0</v>
      </c>
      <c r="BA55" s="17">
        <v>0</v>
      </c>
      <c r="BB55" s="17">
        <v>0</v>
      </c>
      <c r="BC55" s="17">
        <v>0</v>
      </c>
      <c r="BD55" s="17">
        <v>0</v>
      </c>
      <c r="BE55" s="17">
        <v>0</v>
      </c>
      <c r="BF55" s="17">
        <v>0</v>
      </c>
      <c r="BG55" s="17">
        <v>0</v>
      </c>
      <c r="BH55" s="17">
        <v>0</v>
      </c>
      <c r="BI55" s="17">
        <v>0</v>
      </c>
      <c r="BJ55" s="17">
        <v>0</v>
      </c>
      <c r="BK55" s="17">
        <v>0</v>
      </c>
      <c r="BL55" s="17">
        <v>0</v>
      </c>
      <c r="BM55" s="17">
        <v>0</v>
      </c>
      <c r="BN55" s="17">
        <v>0</v>
      </c>
      <c r="BO55" s="17">
        <v>0</v>
      </c>
      <c r="BP55" s="17">
        <v>0</v>
      </c>
      <c r="BQ55" s="17">
        <v>0</v>
      </c>
      <c r="BR55" s="17">
        <v>0</v>
      </c>
      <c r="BS55" s="17">
        <v>0</v>
      </c>
      <c r="BT55" s="17">
        <v>0</v>
      </c>
      <c r="BU55" s="17">
        <v>0</v>
      </c>
      <c r="BV55" s="17">
        <v>0</v>
      </c>
      <c r="BW55" s="17">
        <v>0</v>
      </c>
      <c r="BX55" s="17">
        <v>0</v>
      </c>
      <c r="BY55" s="17">
        <v>0</v>
      </c>
      <c r="BZ55" s="17">
        <v>0</v>
      </c>
      <c r="CA55" s="17">
        <v>0</v>
      </c>
      <c r="CB55" s="17">
        <v>0</v>
      </c>
      <c r="CC55" s="17">
        <v>0</v>
      </c>
      <c r="CD55" s="17">
        <v>0</v>
      </c>
      <c r="CE55" s="17">
        <v>0</v>
      </c>
      <c r="CF55" s="5">
        <f t="shared" si="86"/>
        <v>0</v>
      </c>
      <c r="CG55" s="5">
        <f t="shared" si="87"/>
        <v>0</v>
      </c>
      <c r="CH55" s="5">
        <f t="shared" si="88"/>
        <v>0</v>
      </c>
    </row>
    <row r="56" spans="1:103" s="8" customFormat="1" ht="21" x14ac:dyDescent="0.2">
      <c r="A56" s="86"/>
      <c r="B56" s="24" t="s">
        <v>4</v>
      </c>
      <c r="C56" s="21">
        <f>AVERAGE(C54:C55)</f>
        <v>0</v>
      </c>
      <c r="D56" s="21">
        <f>AVERAGE(D54:D55)</f>
        <v>0</v>
      </c>
      <c r="E56" s="21">
        <f>AVERAGE(E54:E55)</f>
        <v>0</v>
      </c>
      <c r="F56" s="21">
        <f>AVERAGE(F54:F55)</f>
        <v>0</v>
      </c>
      <c r="G56" s="21">
        <f>AVERAGE(G54:G55)</f>
        <v>0</v>
      </c>
      <c r="H56" s="21">
        <f>AVERAGE(H54:H55)</f>
        <v>0</v>
      </c>
      <c r="I56" s="21">
        <f>AVERAGE(I54:I55)</f>
        <v>0</v>
      </c>
      <c r="J56" s="21">
        <f>AVERAGE(J54:J55)</f>
        <v>0</v>
      </c>
      <c r="K56" s="21">
        <f>AVERAGE(K54:K55)</f>
        <v>0</v>
      </c>
      <c r="L56" s="21">
        <f>AVERAGE(L54:L55)</f>
        <v>0</v>
      </c>
      <c r="M56" s="21">
        <f>AVERAGE(M54:M55)</f>
        <v>0</v>
      </c>
      <c r="N56" s="21">
        <f>AVERAGE(N54:N55)</f>
        <v>0</v>
      </c>
      <c r="O56" s="21">
        <f>AVERAGE(O54:O55)</f>
        <v>0</v>
      </c>
      <c r="P56" s="21">
        <f>AVERAGE(P54:P55)</f>
        <v>0</v>
      </c>
      <c r="Q56" s="21">
        <f>AVERAGE(Q54:Q55)</f>
        <v>0</v>
      </c>
      <c r="R56" s="21">
        <f>AVERAGE(R54:R55)</f>
        <v>0</v>
      </c>
      <c r="S56" s="21">
        <f>AVERAGE(S54:S55)</f>
        <v>0</v>
      </c>
      <c r="T56" s="21">
        <f>AVERAGE(T54:T55)</f>
        <v>0</v>
      </c>
      <c r="U56" s="21">
        <f>AVERAGE(U54:U55)</f>
        <v>0</v>
      </c>
      <c r="V56" s="21">
        <f>AVERAGE(V54:V55)</f>
        <v>0</v>
      </c>
      <c r="W56" s="21">
        <f>AVERAGE(W54:W55)</f>
        <v>0</v>
      </c>
      <c r="X56" s="21">
        <f>AVERAGE(X54:X55)</f>
        <v>0</v>
      </c>
      <c r="Y56" s="21">
        <f>AVERAGE(Y54:Y55)</f>
        <v>0</v>
      </c>
      <c r="Z56" s="21">
        <f>AVERAGE(Z54:Z55)</f>
        <v>0</v>
      </c>
      <c r="AA56" s="21">
        <f>AVERAGE(AA54:AA55)</f>
        <v>0</v>
      </c>
      <c r="AB56" s="21">
        <f>AVERAGE(AB54:AB55)</f>
        <v>0</v>
      </c>
      <c r="AC56" s="21">
        <f>AVERAGE(AC54:AC55)</f>
        <v>0</v>
      </c>
      <c r="AD56" s="21">
        <f>AVERAGE(AD54:AD55)</f>
        <v>0</v>
      </c>
      <c r="AE56" s="21">
        <f>AVERAGE(AE54:AE55)</f>
        <v>0</v>
      </c>
      <c r="AF56" s="21">
        <f>AVERAGE(AF54:AF55)</f>
        <v>0</v>
      </c>
      <c r="AG56" s="31">
        <f>AVERAGE(AG54:AG55)</f>
        <v>0</v>
      </c>
      <c r="AH56" s="21">
        <f>AVERAGE(AH54:AH55)</f>
        <v>0</v>
      </c>
      <c r="AI56" s="21">
        <f>AVERAGE(AI54:AI55)</f>
        <v>0</v>
      </c>
      <c r="AJ56" s="21">
        <f>AVERAGE(AJ54:AJ55)</f>
        <v>0</v>
      </c>
      <c r="AK56" s="21">
        <f>AVERAGE(AK54:AK55)</f>
        <v>0</v>
      </c>
      <c r="AL56" s="21">
        <f>AVERAGE(AL54:AL55)</f>
        <v>0</v>
      </c>
      <c r="AM56" s="21">
        <f>AVERAGE(AM54:AM55)</f>
        <v>0</v>
      </c>
      <c r="AN56" s="21">
        <f>AVERAGE(AN54:AN55)</f>
        <v>0</v>
      </c>
      <c r="AO56" s="21">
        <f>AVERAGE(AO54:AO55)</f>
        <v>0</v>
      </c>
      <c r="AP56" s="21">
        <f>AVERAGE(AP54:AP55)</f>
        <v>0</v>
      </c>
      <c r="AQ56" s="21">
        <f>AVERAGE(AQ54:AQ55)</f>
        <v>0</v>
      </c>
      <c r="AR56" s="21">
        <f>AVERAGE(AR54:AR55)</f>
        <v>0</v>
      </c>
      <c r="AS56" s="21">
        <f>AVERAGE(AS54:AS55)</f>
        <v>0</v>
      </c>
      <c r="AT56" s="21">
        <f>AVERAGE(AT54:AT55)</f>
        <v>0</v>
      </c>
      <c r="AU56" s="21">
        <f>AVERAGE(AU54:AU55)</f>
        <v>0</v>
      </c>
      <c r="AV56" s="21">
        <f>AVERAGE(AV54:AV55)</f>
        <v>0</v>
      </c>
      <c r="AW56" s="21">
        <f>AVERAGE(AW54:AW55)</f>
        <v>0</v>
      </c>
      <c r="AX56" s="21">
        <f>AVERAGE(AX54:AX55)</f>
        <v>0</v>
      </c>
      <c r="AY56" s="21">
        <f>AVERAGE(AY54:AY55)</f>
        <v>0</v>
      </c>
      <c r="AZ56" s="21">
        <f>AVERAGE(AZ54:AZ55)</f>
        <v>0</v>
      </c>
      <c r="BA56" s="21">
        <f>AVERAGE(BA54:BA55)</f>
        <v>0</v>
      </c>
      <c r="BB56" s="21">
        <f>AVERAGE(BB54:BB55)</f>
        <v>0</v>
      </c>
      <c r="BC56" s="21">
        <f>AVERAGE(BC54:BC55)</f>
        <v>0</v>
      </c>
      <c r="BD56" s="21">
        <f>AVERAGE(BD54:BD55)</f>
        <v>0</v>
      </c>
      <c r="BE56" s="21">
        <f>AVERAGE(BE54:BE55)</f>
        <v>0</v>
      </c>
      <c r="BF56" s="21">
        <f>AVERAGE(BF54:BF55)</f>
        <v>0</v>
      </c>
      <c r="BG56" s="21">
        <f>AVERAGE(BG54:BG55)</f>
        <v>0</v>
      </c>
      <c r="BH56" s="21">
        <f>AVERAGE(BH54:BH55)</f>
        <v>0</v>
      </c>
      <c r="BI56" s="21">
        <f>AVERAGE(BI54:BI55)</f>
        <v>0</v>
      </c>
      <c r="BJ56" s="21">
        <f>AVERAGE(BJ54:BJ55)</f>
        <v>0</v>
      </c>
      <c r="BK56" s="21">
        <f>AVERAGE(BK54:BK55)</f>
        <v>0</v>
      </c>
      <c r="BL56" s="21">
        <f>AVERAGE(BL54:BL55)</f>
        <v>0</v>
      </c>
      <c r="BM56" s="21">
        <f>AVERAGE(BM54:BM55)</f>
        <v>0</v>
      </c>
      <c r="BN56" s="21">
        <f>AVERAGE(BN54:BN55)</f>
        <v>0</v>
      </c>
      <c r="BO56" s="21">
        <f>AVERAGE(BO54:BO55)</f>
        <v>0</v>
      </c>
      <c r="BP56" s="21">
        <f>AVERAGE(BP54:BP55)</f>
        <v>0</v>
      </c>
      <c r="BQ56" s="21">
        <f>AVERAGE(BQ54:BQ55)</f>
        <v>0</v>
      </c>
      <c r="BR56" s="21">
        <f>AVERAGE(BR54:BR55)</f>
        <v>0</v>
      </c>
      <c r="BS56" s="21">
        <f>AVERAGE(BS54:BS55)</f>
        <v>0</v>
      </c>
      <c r="BT56" s="21">
        <f>AVERAGE(BT54:BT55)</f>
        <v>0</v>
      </c>
      <c r="BU56" s="21">
        <f>AVERAGE(BU54:BU55)</f>
        <v>0</v>
      </c>
      <c r="BV56" s="21">
        <f>AVERAGE(BV54:BV55)</f>
        <v>0</v>
      </c>
      <c r="BW56" s="21">
        <f>AVERAGE(BW54:BW55)</f>
        <v>0</v>
      </c>
      <c r="BX56" s="21">
        <f>AVERAGE(BX54:BX55)</f>
        <v>0</v>
      </c>
      <c r="BY56" s="21">
        <f>AVERAGE(BY54:BY55)</f>
        <v>0</v>
      </c>
      <c r="BZ56" s="21">
        <f>AVERAGE(BZ54:BZ55)</f>
        <v>0</v>
      </c>
      <c r="CA56" s="21">
        <f>AVERAGE(CA54:CA55)</f>
        <v>0</v>
      </c>
      <c r="CB56" s="21">
        <f>AVERAGE(CB54:CB55)</f>
        <v>0</v>
      </c>
      <c r="CC56" s="21">
        <f>AVERAGE(CC54:CC55)</f>
        <v>0</v>
      </c>
      <c r="CD56" s="21">
        <f>AVERAGE(CD54:CD55)</f>
        <v>0</v>
      </c>
      <c r="CE56" s="21">
        <f>AVERAGE(CE54:CE55)</f>
        <v>0</v>
      </c>
      <c r="CF56" s="7">
        <f t="shared" si="86"/>
        <v>0</v>
      </c>
      <c r="CG56" s="7">
        <f t="shared" si="87"/>
        <v>0</v>
      </c>
      <c r="CH56" s="7">
        <f t="shared" si="88"/>
        <v>0</v>
      </c>
      <c r="CI56" s="8">
        <v>3</v>
      </c>
      <c r="CJ56" s="65">
        <f>AVERAGE(CH54:CH55)</f>
        <v>0</v>
      </c>
    </row>
    <row r="57" spans="1:103" s="8" customFormat="1" ht="12" x14ac:dyDescent="0.2">
      <c r="A57" s="86" t="s">
        <v>63</v>
      </c>
      <c r="B57" s="33">
        <v>1</v>
      </c>
      <c r="C57" s="17">
        <v>0</v>
      </c>
      <c r="D57" s="17">
        <v>0</v>
      </c>
      <c r="E57" s="17">
        <v>0</v>
      </c>
      <c r="F57" s="17">
        <v>0</v>
      </c>
      <c r="G57" s="17">
        <v>0</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0</v>
      </c>
      <c r="BG57" s="17">
        <v>0</v>
      </c>
      <c r="BH57" s="17">
        <v>0</v>
      </c>
      <c r="BI57" s="17">
        <v>0</v>
      </c>
      <c r="BJ57" s="17">
        <v>0</v>
      </c>
      <c r="BK57" s="17">
        <v>0</v>
      </c>
      <c r="BL57" s="17">
        <v>0</v>
      </c>
      <c r="BM57" s="17">
        <v>0</v>
      </c>
      <c r="BN57" s="17">
        <v>0</v>
      </c>
      <c r="BO57" s="17">
        <v>0</v>
      </c>
      <c r="BP57" s="17">
        <v>0</v>
      </c>
      <c r="BQ57" s="17">
        <v>0</v>
      </c>
      <c r="BR57" s="17">
        <v>0</v>
      </c>
      <c r="BS57" s="17">
        <v>0</v>
      </c>
      <c r="BT57" s="17">
        <v>0</v>
      </c>
      <c r="BU57" s="17">
        <v>0</v>
      </c>
      <c r="BV57" s="17">
        <v>0</v>
      </c>
      <c r="BW57" s="17">
        <v>0</v>
      </c>
      <c r="BX57" s="17">
        <v>0</v>
      </c>
      <c r="BY57" s="17">
        <v>0</v>
      </c>
      <c r="BZ57" s="17">
        <v>0</v>
      </c>
      <c r="CA57" s="17">
        <v>0</v>
      </c>
      <c r="CB57" s="17">
        <v>0</v>
      </c>
      <c r="CC57" s="17">
        <v>0</v>
      </c>
      <c r="CD57" s="17">
        <v>0</v>
      </c>
      <c r="CE57" s="17">
        <v>0</v>
      </c>
      <c r="CF57" s="5">
        <f t="shared" si="86"/>
        <v>0</v>
      </c>
      <c r="CG57" s="5">
        <f t="shared" si="87"/>
        <v>0</v>
      </c>
      <c r="CH57" s="5">
        <f t="shared" si="88"/>
        <v>0</v>
      </c>
    </row>
    <row r="58" spans="1:103" s="8" customFormat="1" ht="12" x14ac:dyDescent="0.2">
      <c r="A58" s="86"/>
      <c r="B58" s="33">
        <v>2</v>
      </c>
      <c r="C58" s="17">
        <v>0</v>
      </c>
      <c r="D58" s="17">
        <v>0</v>
      </c>
      <c r="E58" s="17">
        <v>0</v>
      </c>
      <c r="F58" s="17">
        <v>0</v>
      </c>
      <c r="G58" s="17">
        <v>0</v>
      </c>
      <c r="H58" s="17">
        <v>0</v>
      </c>
      <c r="I58" s="17">
        <v>0</v>
      </c>
      <c r="J58" s="17">
        <v>0</v>
      </c>
      <c r="K58" s="17">
        <v>0</v>
      </c>
      <c r="L58" s="17">
        <v>0</v>
      </c>
      <c r="M58" s="17">
        <v>0</v>
      </c>
      <c r="N58" s="17">
        <v>0</v>
      </c>
      <c r="O58" s="17">
        <v>0</v>
      </c>
      <c r="P58" s="17">
        <v>0</v>
      </c>
      <c r="Q58" s="17">
        <v>0</v>
      </c>
      <c r="R58" s="17">
        <v>0</v>
      </c>
      <c r="S58" s="17">
        <v>0</v>
      </c>
      <c r="T58" s="17">
        <v>0</v>
      </c>
      <c r="U58" s="17">
        <v>0</v>
      </c>
      <c r="V58" s="17">
        <v>0</v>
      </c>
      <c r="W58" s="17">
        <v>0</v>
      </c>
      <c r="X58" s="17">
        <v>0</v>
      </c>
      <c r="Y58" s="17">
        <v>0</v>
      </c>
      <c r="Z58" s="17">
        <v>0</v>
      </c>
      <c r="AA58" s="17">
        <v>0</v>
      </c>
      <c r="AB58" s="17">
        <v>0</v>
      </c>
      <c r="AC58" s="17">
        <v>0</v>
      </c>
      <c r="AD58" s="17">
        <v>0</v>
      </c>
      <c r="AE58" s="17">
        <v>0</v>
      </c>
      <c r="AF58" s="17">
        <v>0</v>
      </c>
      <c r="AG58" s="17">
        <v>0</v>
      </c>
      <c r="AH58" s="17">
        <v>0</v>
      </c>
      <c r="AI58" s="17">
        <v>0</v>
      </c>
      <c r="AJ58" s="17">
        <v>0</v>
      </c>
      <c r="AK58" s="17">
        <v>0</v>
      </c>
      <c r="AL58" s="17">
        <v>0</v>
      </c>
      <c r="AM58" s="17">
        <v>0</v>
      </c>
      <c r="AN58" s="17">
        <v>0</v>
      </c>
      <c r="AO58" s="17">
        <v>0</v>
      </c>
      <c r="AP58" s="17">
        <v>0</v>
      </c>
      <c r="AQ58" s="17">
        <v>0</v>
      </c>
      <c r="AR58" s="17">
        <v>0</v>
      </c>
      <c r="AS58" s="17">
        <v>0</v>
      </c>
      <c r="AT58" s="17">
        <v>0</v>
      </c>
      <c r="AU58" s="17">
        <v>0</v>
      </c>
      <c r="AV58" s="17">
        <v>0</v>
      </c>
      <c r="AW58" s="17">
        <v>0</v>
      </c>
      <c r="AX58" s="17">
        <v>0</v>
      </c>
      <c r="AY58" s="17">
        <v>0</v>
      </c>
      <c r="AZ58" s="17">
        <v>0</v>
      </c>
      <c r="BA58" s="17">
        <v>0</v>
      </c>
      <c r="BB58" s="17">
        <v>0</v>
      </c>
      <c r="BC58" s="17">
        <v>0</v>
      </c>
      <c r="BD58" s="17">
        <v>0</v>
      </c>
      <c r="BE58" s="17">
        <v>0</v>
      </c>
      <c r="BF58" s="17">
        <v>0</v>
      </c>
      <c r="BG58" s="17">
        <v>0</v>
      </c>
      <c r="BH58" s="17">
        <v>0</v>
      </c>
      <c r="BI58" s="17">
        <v>0</v>
      </c>
      <c r="BJ58" s="17">
        <v>0</v>
      </c>
      <c r="BK58" s="17">
        <v>0</v>
      </c>
      <c r="BL58" s="17">
        <v>0</v>
      </c>
      <c r="BM58" s="17">
        <v>0</v>
      </c>
      <c r="BN58" s="17">
        <v>0</v>
      </c>
      <c r="BO58" s="17">
        <v>0</v>
      </c>
      <c r="BP58" s="17">
        <v>0</v>
      </c>
      <c r="BQ58" s="17">
        <v>0</v>
      </c>
      <c r="BR58" s="17">
        <v>0</v>
      </c>
      <c r="BS58" s="17">
        <v>0</v>
      </c>
      <c r="BT58" s="17">
        <v>0</v>
      </c>
      <c r="BU58" s="17">
        <v>0</v>
      </c>
      <c r="BV58" s="17">
        <v>0</v>
      </c>
      <c r="BW58" s="17">
        <v>0</v>
      </c>
      <c r="BX58" s="17">
        <v>0</v>
      </c>
      <c r="BY58" s="17">
        <v>0</v>
      </c>
      <c r="BZ58" s="17">
        <v>0</v>
      </c>
      <c r="CA58" s="17">
        <v>0</v>
      </c>
      <c r="CB58" s="17">
        <v>0</v>
      </c>
      <c r="CC58" s="17">
        <v>0</v>
      </c>
      <c r="CD58" s="17">
        <v>0</v>
      </c>
      <c r="CE58" s="17">
        <v>0</v>
      </c>
      <c r="CF58" s="5">
        <f t="shared" si="86"/>
        <v>0</v>
      </c>
      <c r="CG58" s="5">
        <f t="shared" si="87"/>
        <v>0</v>
      </c>
      <c r="CH58" s="5">
        <f t="shared" si="88"/>
        <v>0</v>
      </c>
    </row>
    <row r="59" spans="1:103" s="8" customFormat="1" ht="21" x14ac:dyDescent="0.2">
      <c r="A59" s="86"/>
      <c r="B59" s="24" t="s">
        <v>4</v>
      </c>
      <c r="C59" s="21">
        <f t="shared" ref="C59:H59" si="93">AVERAGE(C57:C58)</f>
        <v>0</v>
      </c>
      <c r="D59" s="21">
        <f t="shared" si="93"/>
        <v>0</v>
      </c>
      <c r="E59" s="21">
        <f t="shared" si="93"/>
        <v>0</v>
      </c>
      <c r="F59" s="21">
        <f t="shared" si="93"/>
        <v>0</v>
      </c>
      <c r="G59" s="21">
        <f t="shared" si="93"/>
        <v>0</v>
      </c>
      <c r="H59" s="21">
        <f t="shared" si="93"/>
        <v>0</v>
      </c>
      <c r="I59" s="21">
        <f t="shared" ref="I59:BO59" si="94">AVERAGE(I57:I58)</f>
        <v>0</v>
      </c>
      <c r="J59" s="21">
        <f t="shared" si="94"/>
        <v>0</v>
      </c>
      <c r="K59" s="21">
        <f>AVERAGE(K57:K58)</f>
        <v>0</v>
      </c>
      <c r="L59" s="21">
        <f t="shared" si="94"/>
        <v>0</v>
      </c>
      <c r="M59" s="21">
        <f t="shared" si="94"/>
        <v>0</v>
      </c>
      <c r="N59" s="21">
        <f>AVERAGE(N57:N58)</f>
        <v>0</v>
      </c>
      <c r="O59" s="21">
        <f t="shared" si="94"/>
        <v>0</v>
      </c>
      <c r="P59" s="21">
        <f t="shared" si="94"/>
        <v>0</v>
      </c>
      <c r="Q59" s="21">
        <f>AVERAGE(Q57:Q58)</f>
        <v>0</v>
      </c>
      <c r="R59" s="21">
        <f t="shared" si="94"/>
        <v>0</v>
      </c>
      <c r="S59" s="21">
        <f t="shared" si="94"/>
        <v>0</v>
      </c>
      <c r="T59" s="21">
        <f>AVERAGE(T57:T58)</f>
        <v>0</v>
      </c>
      <c r="U59" s="21">
        <f t="shared" si="94"/>
        <v>0</v>
      </c>
      <c r="V59" s="21">
        <f t="shared" si="94"/>
        <v>0</v>
      </c>
      <c r="W59" s="21">
        <f>AVERAGE(W57:W58)</f>
        <v>0</v>
      </c>
      <c r="X59" s="21">
        <f t="shared" si="94"/>
        <v>0</v>
      </c>
      <c r="Y59" s="21">
        <f t="shared" si="94"/>
        <v>0</v>
      </c>
      <c r="Z59" s="21">
        <f>AVERAGE(Z57:Z58)</f>
        <v>0</v>
      </c>
      <c r="AA59" s="21">
        <f t="shared" si="94"/>
        <v>0</v>
      </c>
      <c r="AB59" s="21">
        <f t="shared" si="94"/>
        <v>0</v>
      </c>
      <c r="AC59" s="21">
        <f>AVERAGE(AC57:AC58)</f>
        <v>0</v>
      </c>
      <c r="AD59" s="21">
        <f t="shared" si="94"/>
        <v>0</v>
      </c>
      <c r="AE59" s="21">
        <f t="shared" si="94"/>
        <v>0</v>
      </c>
      <c r="AF59" s="21">
        <f>AVERAGE(AF57:AF58)</f>
        <v>0</v>
      </c>
      <c r="AG59" s="21">
        <f t="shared" si="94"/>
        <v>0</v>
      </c>
      <c r="AH59" s="21">
        <f t="shared" si="94"/>
        <v>0</v>
      </c>
      <c r="AI59" s="21">
        <f>AVERAGE(AI57:AI58)</f>
        <v>0</v>
      </c>
      <c r="AJ59" s="21">
        <f t="shared" si="94"/>
        <v>0</v>
      </c>
      <c r="AK59" s="21">
        <f t="shared" si="94"/>
        <v>0</v>
      </c>
      <c r="AL59" s="21">
        <f>AVERAGE(AL57:AL58)</f>
        <v>0</v>
      </c>
      <c r="AM59" s="21">
        <f t="shared" si="94"/>
        <v>0</v>
      </c>
      <c r="AN59" s="21">
        <f t="shared" si="94"/>
        <v>0</v>
      </c>
      <c r="AO59" s="21">
        <f>AVERAGE(AO57:AO58)</f>
        <v>0</v>
      </c>
      <c r="AP59" s="21">
        <f t="shared" si="94"/>
        <v>0</v>
      </c>
      <c r="AQ59" s="21">
        <f t="shared" si="94"/>
        <v>0</v>
      </c>
      <c r="AR59" s="21">
        <f>AVERAGE(AR57:AR58)</f>
        <v>0</v>
      </c>
      <c r="AS59" s="21">
        <f t="shared" si="94"/>
        <v>0</v>
      </c>
      <c r="AT59" s="21">
        <f t="shared" si="94"/>
        <v>0</v>
      </c>
      <c r="AU59" s="21">
        <f>AVERAGE(AU57:AU58)</f>
        <v>0</v>
      </c>
      <c r="AV59" s="21">
        <f t="shared" si="94"/>
        <v>0</v>
      </c>
      <c r="AW59" s="21">
        <f t="shared" si="94"/>
        <v>0</v>
      </c>
      <c r="AX59" s="21">
        <f>AVERAGE(AX57:AX58)</f>
        <v>0</v>
      </c>
      <c r="AY59" s="21">
        <f t="shared" si="94"/>
        <v>0</v>
      </c>
      <c r="AZ59" s="21">
        <f t="shared" si="94"/>
        <v>0</v>
      </c>
      <c r="BA59" s="21">
        <f>AVERAGE(BA57:BA58)</f>
        <v>0</v>
      </c>
      <c r="BB59" s="21">
        <f t="shared" si="94"/>
        <v>0</v>
      </c>
      <c r="BC59" s="21">
        <f t="shared" si="94"/>
        <v>0</v>
      </c>
      <c r="BD59" s="21">
        <f>AVERAGE(BD57:BD58)</f>
        <v>0</v>
      </c>
      <c r="BE59" s="21">
        <f t="shared" si="94"/>
        <v>0</v>
      </c>
      <c r="BF59" s="21">
        <f t="shared" si="94"/>
        <v>0</v>
      </c>
      <c r="BG59" s="21">
        <f>AVERAGE(BG57:BG58)</f>
        <v>0</v>
      </c>
      <c r="BH59" s="21">
        <f t="shared" ref="BH59:BI59" si="95">AVERAGE(BH57:BH58)</f>
        <v>0</v>
      </c>
      <c r="BI59" s="21">
        <f t="shared" si="95"/>
        <v>0</v>
      </c>
      <c r="BJ59" s="21">
        <f>AVERAGE(BJ57:BJ58)</f>
        <v>0</v>
      </c>
      <c r="BK59" s="21">
        <f t="shared" si="94"/>
        <v>0</v>
      </c>
      <c r="BL59" s="21">
        <f t="shared" si="94"/>
        <v>0</v>
      </c>
      <c r="BM59" s="21">
        <f>AVERAGE(BM57:BM58)</f>
        <v>0</v>
      </c>
      <c r="BN59" s="21">
        <f t="shared" si="94"/>
        <v>0</v>
      </c>
      <c r="BO59" s="21">
        <f t="shared" si="94"/>
        <v>0</v>
      </c>
      <c r="BP59" s="21">
        <f>AVERAGE(BP57:BP58)</f>
        <v>0</v>
      </c>
      <c r="BQ59" s="21">
        <f t="shared" ref="BQ59:CD59" si="96">AVERAGE(BQ57:BQ58)</f>
        <v>0</v>
      </c>
      <c r="BR59" s="21">
        <f t="shared" si="96"/>
        <v>0</v>
      </c>
      <c r="BS59" s="21">
        <f>AVERAGE(BS57:BS58)</f>
        <v>0</v>
      </c>
      <c r="BT59" s="21">
        <f t="shared" si="96"/>
        <v>0</v>
      </c>
      <c r="BU59" s="21">
        <f t="shared" si="96"/>
        <v>0</v>
      </c>
      <c r="BV59" s="21">
        <f>AVERAGE(BV57:BV58)</f>
        <v>0</v>
      </c>
      <c r="BW59" s="21">
        <f t="shared" si="96"/>
        <v>0</v>
      </c>
      <c r="BX59" s="21">
        <f t="shared" si="96"/>
        <v>0</v>
      </c>
      <c r="BY59" s="21">
        <f>AVERAGE(BY57:BY58)</f>
        <v>0</v>
      </c>
      <c r="BZ59" s="21">
        <f t="shared" si="96"/>
        <v>0</v>
      </c>
      <c r="CA59" s="21">
        <f t="shared" si="96"/>
        <v>0</v>
      </c>
      <c r="CB59" s="21">
        <f>AVERAGE(CB57:CB58)</f>
        <v>0</v>
      </c>
      <c r="CC59" s="21">
        <f t="shared" si="96"/>
        <v>0</v>
      </c>
      <c r="CD59" s="21">
        <f t="shared" si="96"/>
        <v>0</v>
      </c>
      <c r="CE59" s="21">
        <f>AVERAGE(CE57:CE58)</f>
        <v>0</v>
      </c>
      <c r="CF59" s="7">
        <f t="shared" si="86"/>
        <v>0</v>
      </c>
      <c r="CG59" s="7">
        <f t="shared" si="87"/>
        <v>0</v>
      </c>
      <c r="CH59" s="7">
        <f t="shared" si="88"/>
        <v>0</v>
      </c>
      <c r="CI59" s="8">
        <v>4</v>
      </c>
      <c r="CJ59" s="65">
        <f>AVERAGE(CH57:CH58)</f>
        <v>0</v>
      </c>
    </row>
    <row r="60" spans="1:103" s="2" customFormat="1" ht="12" outlineLevel="1" x14ac:dyDescent="0.2">
      <c r="A60" s="86" t="s">
        <v>64</v>
      </c>
      <c r="B60" s="33">
        <v>1</v>
      </c>
      <c r="C60" s="17">
        <v>0</v>
      </c>
      <c r="D60" s="17">
        <v>0</v>
      </c>
      <c r="E60" s="17">
        <v>0</v>
      </c>
      <c r="F60" s="17">
        <v>0</v>
      </c>
      <c r="G60" s="17">
        <v>0</v>
      </c>
      <c r="H60" s="17">
        <v>0</v>
      </c>
      <c r="I60" s="17">
        <v>0</v>
      </c>
      <c r="J60" s="17">
        <v>0</v>
      </c>
      <c r="K60" s="17">
        <v>0</v>
      </c>
      <c r="L60" s="17">
        <v>0</v>
      </c>
      <c r="M60" s="17">
        <v>0</v>
      </c>
      <c r="N60" s="17">
        <v>0</v>
      </c>
      <c r="O60" s="17">
        <v>0</v>
      </c>
      <c r="P60" s="17">
        <v>0</v>
      </c>
      <c r="Q60" s="17">
        <v>0</v>
      </c>
      <c r="R60" s="17">
        <v>0</v>
      </c>
      <c r="S60" s="17">
        <v>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7">
        <v>0</v>
      </c>
      <c r="AM60" s="17">
        <v>0</v>
      </c>
      <c r="AN60" s="17">
        <v>0</v>
      </c>
      <c r="AO60" s="17">
        <v>0</v>
      </c>
      <c r="AP60" s="17">
        <v>0</v>
      </c>
      <c r="AQ60" s="17">
        <v>0</v>
      </c>
      <c r="AR60" s="17">
        <v>0</v>
      </c>
      <c r="AS60" s="17">
        <v>0</v>
      </c>
      <c r="AT60" s="17">
        <v>0</v>
      </c>
      <c r="AU60" s="17">
        <v>0</v>
      </c>
      <c r="AV60" s="17">
        <v>0</v>
      </c>
      <c r="AW60" s="17">
        <v>0</v>
      </c>
      <c r="AX60" s="17">
        <v>0</v>
      </c>
      <c r="AY60" s="17">
        <v>0</v>
      </c>
      <c r="AZ60" s="17">
        <v>0</v>
      </c>
      <c r="BA60" s="17">
        <v>0</v>
      </c>
      <c r="BB60" s="17">
        <v>0</v>
      </c>
      <c r="BC60" s="17">
        <v>0</v>
      </c>
      <c r="BD60" s="17">
        <v>0</v>
      </c>
      <c r="BE60" s="17">
        <v>0</v>
      </c>
      <c r="BF60" s="17">
        <v>0</v>
      </c>
      <c r="BG60" s="17">
        <v>0</v>
      </c>
      <c r="BH60" s="17">
        <v>0</v>
      </c>
      <c r="BI60" s="17">
        <v>0</v>
      </c>
      <c r="BJ60" s="17">
        <v>0</v>
      </c>
      <c r="BK60" s="17">
        <v>0</v>
      </c>
      <c r="BL60" s="17">
        <v>0</v>
      </c>
      <c r="BM60" s="17">
        <v>0</v>
      </c>
      <c r="BN60" s="17">
        <v>0</v>
      </c>
      <c r="BO60" s="17">
        <v>0</v>
      </c>
      <c r="BP60" s="17">
        <v>0</v>
      </c>
      <c r="BQ60" s="17">
        <v>0</v>
      </c>
      <c r="BR60" s="17">
        <v>0</v>
      </c>
      <c r="BS60" s="17">
        <v>0</v>
      </c>
      <c r="BT60" s="17">
        <v>0</v>
      </c>
      <c r="BU60" s="17">
        <v>0</v>
      </c>
      <c r="BV60" s="17">
        <v>0</v>
      </c>
      <c r="BW60" s="17">
        <v>0</v>
      </c>
      <c r="BX60" s="17">
        <v>0</v>
      </c>
      <c r="BY60" s="17">
        <v>0</v>
      </c>
      <c r="BZ60" s="17">
        <v>0</v>
      </c>
      <c r="CA60" s="17">
        <v>0</v>
      </c>
      <c r="CB60" s="17">
        <v>0</v>
      </c>
      <c r="CC60" s="17">
        <v>0</v>
      </c>
      <c r="CD60" s="17">
        <v>0</v>
      </c>
      <c r="CE60" s="17">
        <v>0</v>
      </c>
      <c r="CF60" s="5">
        <f t="shared" si="86"/>
        <v>0</v>
      </c>
      <c r="CG60" s="5">
        <f t="shared" si="87"/>
        <v>0</v>
      </c>
      <c r="CH60" s="5">
        <f t="shared" si="88"/>
        <v>0</v>
      </c>
    </row>
    <row r="61" spans="1:103" s="8" customFormat="1" ht="10.9" customHeight="1" x14ac:dyDescent="0.2">
      <c r="A61" s="86"/>
      <c r="B61" s="24" t="s">
        <v>4</v>
      </c>
      <c r="C61" s="21">
        <f t="shared" ref="C61:AE61" si="97">AVERAGE(C60:C60)</f>
        <v>0</v>
      </c>
      <c r="D61" s="21">
        <f t="shared" si="97"/>
        <v>0</v>
      </c>
      <c r="E61" s="21">
        <f t="shared" si="97"/>
        <v>0</v>
      </c>
      <c r="F61" s="21">
        <f t="shared" si="97"/>
        <v>0</v>
      </c>
      <c r="G61" s="21">
        <f t="shared" si="97"/>
        <v>0</v>
      </c>
      <c r="H61" s="21">
        <f t="shared" si="97"/>
        <v>0</v>
      </c>
      <c r="I61" s="21">
        <f t="shared" si="97"/>
        <v>0</v>
      </c>
      <c r="J61" s="21">
        <f t="shared" si="97"/>
        <v>0</v>
      </c>
      <c r="K61" s="21">
        <f t="shared" si="97"/>
        <v>0</v>
      </c>
      <c r="L61" s="21">
        <f t="shared" si="97"/>
        <v>0</v>
      </c>
      <c r="M61" s="21">
        <f t="shared" si="97"/>
        <v>0</v>
      </c>
      <c r="N61" s="21">
        <f t="shared" si="97"/>
        <v>0</v>
      </c>
      <c r="O61" s="21">
        <f t="shared" si="97"/>
        <v>0</v>
      </c>
      <c r="P61" s="21">
        <f t="shared" si="97"/>
        <v>0</v>
      </c>
      <c r="Q61" s="21">
        <f t="shared" si="97"/>
        <v>0</v>
      </c>
      <c r="R61" s="21">
        <f t="shared" si="97"/>
        <v>0</v>
      </c>
      <c r="S61" s="21">
        <f t="shared" si="97"/>
        <v>0</v>
      </c>
      <c r="T61" s="21">
        <f t="shared" si="97"/>
        <v>0</v>
      </c>
      <c r="U61" s="21">
        <f t="shared" si="97"/>
        <v>0</v>
      </c>
      <c r="V61" s="21">
        <f t="shared" si="97"/>
        <v>0</v>
      </c>
      <c r="W61" s="21">
        <f t="shared" si="97"/>
        <v>0</v>
      </c>
      <c r="X61" s="21">
        <f t="shared" si="97"/>
        <v>0</v>
      </c>
      <c r="Y61" s="21">
        <f t="shared" si="97"/>
        <v>0</v>
      </c>
      <c r="Z61" s="21">
        <f t="shared" si="97"/>
        <v>0</v>
      </c>
      <c r="AA61" s="21">
        <f t="shared" si="97"/>
        <v>0</v>
      </c>
      <c r="AB61" s="21">
        <f t="shared" si="97"/>
        <v>0</v>
      </c>
      <c r="AC61" s="21">
        <f t="shared" si="97"/>
        <v>0</v>
      </c>
      <c r="AD61" s="21">
        <f t="shared" si="97"/>
        <v>0</v>
      </c>
      <c r="AE61" s="21">
        <f t="shared" si="97"/>
        <v>0</v>
      </c>
      <c r="AF61" s="21">
        <f t="shared" ref="AF61:BK61" si="98">AVERAGE(AF60:AF60)</f>
        <v>0</v>
      </c>
      <c r="AG61" s="31">
        <f t="shared" si="98"/>
        <v>0</v>
      </c>
      <c r="AH61" s="21">
        <f t="shared" si="98"/>
        <v>0</v>
      </c>
      <c r="AI61" s="21">
        <f t="shared" si="98"/>
        <v>0</v>
      </c>
      <c r="AJ61" s="21">
        <f t="shared" si="98"/>
        <v>0</v>
      </c>
      <c r="AK61" s="21">
        <f t="shared" si="98"/>
        <v>0</v>
      </c>
      <c r="AL61" s="21">
        <f t="shared" si="98"/>
        <v>0</v>
      </c>
      <c r="AM61" s="21">
        <f t="shared" si="98"/>
        <v>0</v>
      </c>
      <c r="AN61" s="21">
        <f t="shared" si="98"/>
        <v>0</v>
      </c>
      <c r="AO61" s="21">
        <f t="shared" si="98"/>
        <v>0</v>
      </c>
      <c r="AP61" s="21">
        <f t="shared" si="98"/>
        <v>0</v>
      </c>
      <c r="AQ61" s="21">
        <f t="shared" si="98"/>
        <v>0</v>
      </c>
      <c r="AR61" s="21">
        <f t="shared" si="98"/>
        <v>0</v>
      </c>
      <c r="AS61" s="21">
        <f t="shared" si="98"/>
        <v>0</v>
      </c>
      <c r="AT61" s="21">
        <f t="shared" si="98"/>
        <v>0</v>
      </c>
      <c r="AU61" s="21">
        <f t="shared" si="98"/>
        <v>0</v>
      </c>
      <c r="AV61" s="21">
        <f t="shared" si="98"/>
        <v>0</v>
      </c>
      <c r="AW61" s="21">
        <f t="shared" si="98"/>
        <v>0</v>
      </c>
      <c r="AX61" s="21">
        <f t="shared" si="98"/>
        <v>0</v>
      </c>
      <c r="AY61" s="21">
        <f t="shared" si="98"/>
        <v>0</v>
      </c>
      <c r="AZ61" s="21">
        <f t="shared" si="98"/>
        <v>0</v>
      </c>
      <c r="BA61" s="21">
        <f t="shared" si="98"/>
        <v>0</v>
      </c>
      <c r="BB61" s="21">
        <f t="shared" si="98"/>
        <v>0</v>
      </c>
      <c r="BC61" s="21">
        <f t="shared" si="98"/>
        <v>0</v>
      </c>
      <c r="BD61" s="21">
        <f t="shared" si="98"/>
        <v>0</v>
      </c>
      <c r="BE61" s="21">
        <f t="shared" si="98"/>
        <v>0</v>
      </c>
      <c r="BF61" s="21">
        <f t="shared" si="98"/>
        <v>0</v>
      </c>
      <c r="BG61" s="21">
        <f t="shared" si="98"/>
        <v>0</v>
      </c>
      <c r="BH61" s="21">
        <f t="shared" ref="BH61:BJ61" si="99">AVERAGE(BH60:BH60)</f>
        <v>0</v>
      </c>
      <c r="BI61" s="21">
        <f t="shared" si="99"/>
        <v>0</v>
      </c>
      <c r="BJ61" s="21">
        <f t="shared" si="99"/>
        <v>0</v>
      </c>
      <c r="BK61" s="21">
        <f t="shared" si="98"/>
        <v>0</v>
      </c>
      <c r="BL61" s="21">
        <f t="shared" ref="BL61:CE61" si="100">AVERAGE(BL60:BL60)</f>
        <v>0</v>
      </c>
      <c r="BM61" s="21">
        <f t="shared" si="100"/>
        <v>0</v>
      </c>
      <c r="BN61" s="21">
        <f t="shared" si="100"/>
        <v>0</v>
      </c>
      <c r="BO61" s="21">
        <f t="shared" si="100"/>
        <v>0</v>
      </c>
      <c r="BP61" s="21">
        <f t="shared" si="100"/>
        <v>0</v>
      </c>
      <c r="BQ61" s="21">
        <f t="shared" si="100"/>
        <v>0</v>
      </c>
      <c r="BR61" s="21">
        <f t="shared" si="100"/>
        <v>0</v>
      </c>
      <c r="BS61" s="21">
        <f t="shared" si="100"/>
        <v>0</v>
      </c>
      <c r="BT61" s="21">
        <f t="shared" si="100"/>
        <v>0</v>
      </c>
      <c r="BU61" s="21">
        <f t="shared" si="100"/>
        <v>0</v>
      </c>
      <c r="BV61" s="21">
        <f t="shared" si="100"/>
        <v>0</v>
      </c>
      <c r="BW61" s="21">
        <f t="shared" si="100"/>
        <v>0</v>
      </c>
      <c r="BX61" s="21">
        <f t="shared" si="100"/>
        <v>0</v>
      </c>
      <c r="BY61" s="21">
        <f t="shared" si="100"/>
        <v>0</v>
      </c>
      <c r="BZ61" s="21">
        <f t="shared" si="100"/>
        <v>0</v>
      </c>
      <c r="CA61" s="21">
        <f t="shared" si="100"/>
        <v>0</v>
      </c>
      <c r="CB61" s="21">
        <f t="shared" si="100"/>
        <v>0</v>
      </c>
      <c r="CC61" s="21">
        <f t="shared" si="100"/>
        <v>0</v>
      </c>
      <c r="CD61" s="21">
        <f t="shared" si="100"/>
        <v>0</v>
      </c>
      <c r="CE61" s="21">
        <f t="shared" si="100"/>
        <v>0</v>
      </c>
      <c r="CF61" s="7">
        <f t="shared" si="86"/>
        <v>0</v>
      </c>
      <c r="CG61" s="7">
        <f t="shared" si="87"/>
        <v>0</v>
      </c>
      <c r="CH61" s="7">
        <f t="shared" si="88"/>
        <v>0</v>
      </c>
      <c r="CI61" s="8">
        <v>5</v>
      </c>
      <c r="CJ61" s="65">
        <f>AVERAGE(CH60)</f>
        <v>0</v>
      </c>
    </row>
    <row r="62" spans="1:103" s="8" customFormat="1" ht="10.9" customHeight="1" x14ac:dyDescent="0.2">
      <c r="A62" s="79" t="s">
        <v>65</v>
      </c>
      <c r="B62" s="33">
        <v>1</v>
      </c>
      <c r="C62" s="17">
        <v>0</v>
      </c>
      <c r="D62" s="17">
        <v>0</v>
      </c>
      <c r="E62" s="17">
        <v>0</v>
      </c>
      <c r="F62" s="17">
        <v>0</v>
      </c>
      <c r="G62" s="17">
        <v>0</v>
      </c>
      <c r="H62" s="17">
        <v>0</v>
      </c>
      <c r="I62" s="17">
        <v>0</v>
      </c>
      <c r="J62" s="17">
        <v>0</v>
      </c>
      <c r="K62" s="17">
        <v>0</v>
      </c>
      <c r="L62" s="17">
        <v>0</v>
      </c>
      <c r="M62" s="17">
        <v>0</v>
      </c>
      <c r="N62" s="17">
        <v>0</v>
      </c>
      <c r="O62" s="17">
        <v>0</v>
      </c>
      <c r="P62" s="17">
        <v>0</v>
      </c>
      <c r="Q62" s="17">
        <v>0</v>
      </c>
      <c r="R62" s="17">
        <v>0</v>
      </c>
      <c r="S62" s="17">
        <v>0</v>
      </c>
      <c r="T62" s="17">
        <v>0</v>
      </c>
      <c r="U62" s="17">
        <v>0</v>
      </c>
      <c r="V62" s="17">
        <v>0</v>
      </c>
      <c r="W62" s="17">
        <v>0</v>
      </c>
      <c r="X62" s="17">
        <v>0</v>
      </c>
      <c r="Y62" s="17">
        <v>0</v>
      </c>
      <c r="Z62" s="17">
        <v>0</v>
      </c>
      <c r="AA62" s="17">
        <v>0</v>
      </c>
      <c r="AB62" s="17">
        <v>0</v>
      </c>
      <c r="AC62" s="17">
        <v>0</v>
      </c>
      <c r="AD62" s="17">
        <v>0</v>
      </c>
      <c r="AE62" s="17">
        <v>0</v>
      </c>
      <c r="AF62" s="17">
        <v>0</v>
      </c>
      <c r="AG62" s="17">
        <v>0</v>
      </c>
      <c r="AH62" s="17">
        <v>0</v>
      </c>
      <c r="AI62" s="17">
        <v>0</v>
      </c>
      <c r="AJ62" s="17">
        <v>0</v>
      </c>
      <c r="AK62" s="17">
        <v>0</v>
      </c>
      <c r="AL62" s="17">
        <v>0</v>
      </c>
      <c r="AM62" s="17">
        <v>0</v>
      </c>
      <c r="AN62" s="17">
        <v>0</v>
      </c>
      <c r="AO62" s="17">
        <v>0</v>
      </c>
      <c r="AP62" s="17">
        <v>0</v>
      </c>
      <c r="AQ62" s="17">
        <v>0</v>
      </c>
      <c r="AR62" s="17">
        <v>0</v>
      </c>
      <c r="AS62" s="17">
        <v>0</v>
      </c>
      <c r="AT62" s="17">
        <v>0</v>
      </c>
      <c r="AU62" s="17">
        <v>0</v>
      </c>
      <c r="AV62" s="17">
        <v>0</v>
      </c>
      <c r="AW62" s="17">
        <v>0</v>
      </c>
      <c r="AX62" s="17">
        <v>0</v>
      </c>
      <c r="AY62" s="17">
        <v>0</v>
      </c>
      <c r="AZ62" s="17">
        <v>0</v>
      </c>
      <c r="BA62" s="17">
        <v>0</v>
      </c>
      <c r="BB62" s="17">
        <v>0</v>
      </c>
      <c r="BC62" s="17">
        <v>0</v>
      </c>
      <c r="BD62" s="17">
        <v>0</v>
      </c>
      <c r="BE62" s="17">
        <v>0</v>
      </c>
      <c r="BF62" s="17">
        <v>0</v>
      </c>
      <c r="BG62" s="17">
        <v>0</v>
      </c>
      <c r="BH62" s="17">
        <v>0</v>
      </c>
      <c r="BI62" s="17">
        <v>0</v>
      </c>
      <c r="BJ62" s="17">
        <v>0</v>
      </c>
      <c r="BK62" s="17">
        <v>0</v>
      </c>
      <c r="BL62" s="17">
        <v>0</v>
      </c>
      <c r="BM62" s="17">
        <v>0</v>
      </c>
      <c r="BN62" s="17">
        <v>0</v>
      </c>
      <c r="BO62" s="17">
        <v>0</v>
      </c>
      <c r="BP62" s="17">
        <v>0</v>
      </c>
      <c r="BQ62" s="17">
        <v>0</v>
      </c>
      <c r="BR62" s="17">
        <v>0</v>
      </c>
      <c r="BS62" s="17">
        <v>0</v>
      </c>
      <c r="BT62" s="17">
        <v>0</v>
      </c>
      <c r="BU62" s="17">
        <v>0</v>
      </c>
      <c r="BV62" s="17">
        <v>0</v>
      </c>
      <c r="BW62" s="17">
        <v>0</v>
      </c>
      <c r="BX62" s="17">
        <v>0</v>
      </c>
      <c r="BY62" s="17">
        <v>0</v>
      </c>
      <c r="BZ62" s="17">
        <v>0</v>
      </c>
      <c r="CA62" s="17">
        <v>0</v>
      </c>
      <c r="CB62" s="17">
        <v>0</v>
      </c>
      <c r="CC62" s="17">
        <v>0</v>
      </c>
      <c r="CD62" s="17">
        <v>0</v>
      </c>
      <c r="CE62" s="17">
        <v>0</v>
      </c>
      <c r="CF62" s="5">
        <f t="shared" si="86"/>
        <v>0</v>
      </c>
      <c r="CG62" s="5">
        <f t="shared" si="87"/>
        <v>0</v>
      </c>
      <c r="CH62" s="5">
        <f t="shared" si="88"/>
        <v>0</v>
      </c>
    </row>
    <row r="63" spans="1:103" s="8" customFormat="1" ht="10.9" customHeight="1" x14ac:dyDescent="0.2">
      <c r="A63" s="80"/>
      <c r="B63" s="33">
        <v>2</v>
      </c>
      <c r="C63" s="17">
        <v>0</v>
      </c>
      <c r="D63" s="17">
        <v>0</v>
      </c>
      <c r="E63" s="17">
        <v>0</v>
      </c>
      <c r="F63" s="17">
        <v>0</v>
      </c>
      <c r="G63" s="17">
        <v>0</v>
      </c>
      <c r="H63" s="17">
        <v>0</v>
      </c>
      <c r="I63" s="17">
        <v>0</v>
      </c>
      <c r="J63" s="17">
        <v>0</v>
      </c>
      <c r="K63" s="17">
        <v>0</v>
      </c>
      <c r="L63" s="17">
        <v>0</v>
      </c>
      <c r="M63" s="17">
        <v>0</v>
      </c>
      <c r="N63" s="17">
        <v>0</v>
      </c>
      <c r="O63" s="17">
        <v>0</v>
      </c>
      <c r="P63" s="17">
        <v>0</v>
      </c>
      <c r="Q63" s="17">
        <v>0</v>
      </c>
      <c r="R63" s="17">
        <v>0</v>
      </c>
      <c r="S63" s="17">
        <v>0</v>
      </c>
      <c r="T63" s="17">
        <v>0</v>
      </c>
      <c r="U63" s="17">
        <v>0</v>
      </c>
      <c r="V63" s="17">
        <v>0</v>
      </c>
      <c r="W63" s="17">
        <v>0</v>
      </c>
      <c r="X63" s="17">
        <v>0</v>
      </c>
      <c r="Y63" s="17">
        <v>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0</v>
      </c>
      <c r="BS63" s="17">
        <v>0</v>
      </c>
      <c r="BT63" s="17">
        <v>0</v>
      </c>
      <c r="BU63" s="17">
        <v>0</v>
      </c>
      <c r="BV63" s="17">
        <v>0</v>
      </c>
      <c r="BW63" s="17">
        <v>0</v>
      </c>
      <c r="BX63" s="17">
        <v>0</v>
      </c>
      <c r="BY63" s="17">
        <v>0</v>
      </c>
      <c r="BZ63" s="17">
        <v>0</v>
      </c>
      <c r="CA63" s="17">
        <v>0</v>
      </c>
      <c r="CB63" s="17">
        <v>0</v>
      </c>
      <c r="CC63" s="17">
        <v>0</v>
      </c>
      <c r="CD63" s="17">
        <v>0</v>
      </c>
      <c r="CE63" s="17">
        <v>0</v>
      </c>
      <c r="CF63" s="5">
        <f t="shared" si="86"/>
        <v>0</v>
      </c>
      <c r="CG63" s="5">
        <f t="shared" si="87"/>
        <v>0</v>
      </c>
      <c r="CH63" s="5">
        <f t="shared" si="88"/>
        <v>0</v>
      </c>
    </row>
    <row r="64" spans="1:103" s="8" customFormat="1" ht="10.9" customHeight="1" x14ac:dyDescent="0.2">
      <c r="A64" s="81"/>
      <c r="B64" s="24" t="s">
        <v>4</v>
      </c>
      <c r="C64" s="21">
        <f t="shared" ref="C64:H64" si="101">AVERAGE(C62:C63)</f>
        <v>0</v>
      </c>
      <c r="D64" s="21">
        <f t="shared" si="101"/>
        <v>0</v>
      </c>
      <c r="E64" s="21">
        <f t="shared" si="101"/>
        <v>0</v>
      </c>
      <c r="F64" s="21">
        <f t="shared" si="101"/>
        <v>0</v>
      </c>
      <c r="G64" s="21">
        <f t="shared" si="101"/>
        <v>0</v>
      </c>
      <c r="H64" s="21">
        <f t="shared" si="101"/>
        <v>0</v>
      </c>
      <c r="I64" s="21">
        <f t="shared" ref="I64" si="102">AVERAGE(I62:I63)</f>
        <v>0</v>
      </c>
      <c r="J64" s="21">
        <f t="shared" ref="J64" si="103">AVERAGE(J62:J63)</f>
        <v>0</v>
      </c>
      <c r="K64" s="21">
        <f>AVERAGE(K62:K63)</f>
        <v>0</v>
      </c>
      <c r="L64" s="21">
        <f t="shared" ref="L64" si="104">AVERAGE(L62:L63)</f>
        <v>0</v>
      </c>
      <c r="M64" s="21">
        <f t="shared" ref="M64" si="105">AVERAGE(M62:M63)</f>
        <v>0</v>
      </c>
      <c r="N64" s="21">
        <f>AVERAGE(N62:N63)</f>
        <v>0</v>
      </c>
      <c r="O64" s="21">
        <f t="shared" ref="O64" si="106">AVERAGE(O62:O63)</f>
        <v>0</v>
      </c>
      <c r="P64" s="21">
        <f t="shared" ref="P64" si="107">AVERAGE(P62:P63)</f>
        <v>0</v>
      </c>
      <c r="Q64" s="21">
        <f>AVERAGE(Q62:Q63)</f>
        <v>0</v>
      </c>
      <c r="R64" s="21">
        <f t="shared" ref="R64" si="108">AVERAGE(R62:R63)</f>
        <v>0</v>
      </c>
      <c r="S64" s="21">
        <f t="shared" ref="S64" si="109">AVERAGE(S62:S63)</f>
        <v>0</v>
      </c>
      <c r="T64" s="21">
        <f>AVERAGE(T62:T63)</f>
        <v>0</v>
      </c>
      <c r="U64" s="21">
        <f t="shared" ref="U64" si="110">AVERAGE(U62:U63)</f>
        <v>0</v>
      </c>
      <c r="V64" s="21">
        <f t="shared" ref="V64" si="111">AVERAGE(V62:V63)</f>
        <v>0</v>
      </c>
      <c r="W64" s="21">
        <f>AVERAGE(W62:W63)</f>
        <v>0</v>
      </c>
      <c r="X64" s="21">
        <f t="shared" ref="X64" si="112">AVERAGE(X62:X63)</f>
        <v>0</v>
      </c>
      <c r="Y64" s="21">
        <f t="shared" ref="Y64" si="113">AVERAGE(Y62:Y63)</f>
        <v>0</v>
      </c>
      <c r="Z64" s="21">
        <f>AVERAGE(Z62:Z63)</f>
        <v>0</v>
      </c>
      <c r="AA64" s="21">
        <f t="shared" ref="AA64" si="114">AVERAGE(AA62:AA63)</f>
        <v>0</v>
      </c>
      <c r="AB64" s="21">
        <f t="shared" ref="AB64" si="115">AVERAGE(AB62:AB63)</f>
        <v>0</v>
      </c>
      <c r="AC64" s="21">
        <f>AVERAGE(AC62:AC63)</f>
        <v>0</v>
      </c>
      <c r="AD64" s="21">
        <f t="shared" ref="AD64" si="116">AVERAGE(AD62:AD63)</f>
        <v>0</v>
      </c>
      <c r="AE64" s="21">
        <f t="shared" ref="AE64" si="117">AVERAGE(AE62:AE63)</f>
        <v>0</v>
      </c>
      <c r="AF64" s="21">
        <f>AVERAGE(AF62:AF63)</f>
        <v>0</v>
      </c>
      <c r="AG64" s="21">
        <f t="shared" ref="AG64" si="118">AVERAGE(AG62:AG63)</f>
        <v>0</v>
      </c>
      <c r="AH64" s="21">
        <f t="shared" ref="AH64" si="119">AVERAGE(AH62:AH63)</f>
        <v>0</v>
      </c>
      <c r="AI64" s="21">
        <f>AVERAGE(AI62:AI63)</f>
        <v>0</v>
      </c>
      <c r="AJ64" s="21">
        <f t="shared" ref="AJ64" si="120">AVERAGE(AJ62:AJ63)</f>
        <v>0</v>
      </c>
      <c r="AK64" s="21">
        <f t="shared" ref="AK64" si="121">AVERAGE(AK62:AK63)</f>
        <v>0</v>
      </c>
      <c r="AL64" s="21">
        <f>AVERAGE(AL62:AL63)</f>
        <v>0</v>
      </c>
      <c r="AM64" s="21">
        <f t="shared" ref="AM64" si="122">AVERAGE(AM62:AM63)</f>
        <v>0</v>
      </c>
      <c r="AN64" s="21">
        <f t="shared" ref="AN64" si="123">AVERAGE(AN62:AN63)</f>
        <v>0</v>
      </c>
      <c r="AO64" s="21">
        <f>AVERAGE(AO62:AO63)</f>
        <v>0</v>
      </c>
      <c r="AP64" s="21">
        <f t="shared" ref="AP64" si="124">AVERAGE(AP62:AP63)</f>
        <v>0</v>
      </c>
      <c r="AQ64" s="21">
        <f t="shared" ref="AQ64" si="125">AVERAGE(AQ62:AQ63)</f>
        <v>0</v>
      </c>
      <c r="AR64" s="21">
        <f>AVERAGE(AR62:AR63)</f>
        <v>0</v>
      </c>
      <c r="AS64" s="21">
        <f t="shared" ref="AS64" si="126">AVERAGE(AS62:AS63)</f>
        <v>0</v>
      </c>
      <c r="AT64" s="21">
        <f t="shared" ref="AT64" si="127">AVERAGE(AT62:AT63)</f>
        <v>0</v>
      </c>
      <c r="AU64" s="21">
        <f>AVERAGE(AU62:AU63)</f>
        <v>0</v>
      </c>
      <c r="AV64" s="21">
        <f t="shared" ref="AV64" si="128">AVERAGE(AV62:AV63)</f>
        <v>0</v>
      </c>
      <c r="AW64" s="21">
        <f t="shared" ref="AW64" si="129">AVERAGE(AW62:AW63)</f>
        <v>0</v>
      </c>
      <c r="AX64" s="21">
        <f>AVERAGE(AX62:AX63)</f>
        <v>0</v>
      </c>
      <c r="AY64" s="21">
        <f t="shared" ref="AY64" si="130">AVERAGE(AY62:AY63)</f>
        <v>0</v>
      </c>
      <c r="AZ64" s="21">
        <f t="shared" ref="AZ64" si="131">AVERAGE(AZ62:AZ63)</f>
        <v>0</v>
      </c>
      <c r="BA64" s="21">
        <f>AVERAGE(BA62:BA63)</f>
        <v>0</v>
      </c>
      <c r="BB64" s="21">
        <f t="shared" ref="BB64" si="132">AVERAGE(BB62:BB63)</f>
        <v>0</v>
      </c>
      <c r="BC64" s="21">
        <f t="shared" ref="BC64" si="133">AVERAGE(BC62:BC63)</f>
        <v>0</v>
      </c>
      <c r="BD64" s="21">
        <f>AVERAGE(BD62:BD63)</f>
        <v>0</v>
      </c>
      <c r="BE64" s="21">
        <f t="shared" ref="BE64" si="134">AVERAGE(BE62:BE63)</f>
        <v>0</v>
      </c>
      <c r="BF64" s="21">
        <f t="shared" ref="BF64" si="135">AVERAGE(BF62:BF63)</f>
        <v>0</v>
      </c>
      <c r="BG64" s="21">
        <f>AVERAGE(BG62:BG63)</f>
        <v>0</v>
      </c>
      <c r="BH64" s="21">
        <f t="shared" ref="BH64:BI64" si="136">AVERAGE(BH62:BH63)</f>
        <v>0</v>
      </c>
      <c r="BI64" s="21">
        <f t="shared" si="136"/>
        <v>0</v>
      </c>
      <c r="BJ64" s="21">
        <f>AVERAGE(BJ62:BJ63)</f>
        <v>0</v>
      </c>
      <c r="BK64" s="21">
        <f t="shared" ref="BK64" si="137">AVERAGE(BK62:BK63)</f>
        <v>0</v>
      </c>
      <c r="BL64" s="21">
        <f t="shared" ref="BL64" si="138">AVERAGE(BL62:BL63)</f>
        <v>0</v>
      </c>
      <c r="BM64" s="21">
        <f>AVERAGE(BM62:BM63)</f>
        <v>0</v>
      </c>
      <c r="BN64" s="21">
        <f t="shared" ref="BN64" si="139">AVERAGE(BN62:BN63)</f>
        <v>0</v>
      </c>
      <c r="BO64" s="21">
        <f t="shared" ref="BO64" si="140">AVERAGE(BO62:BO63)</f>
        <v>0</v>
      </c>
      <c r="BP64" s="21">
        <f>AVERAGE(BP62:BP63)</f>
        <v>0</v>
      </c>
      <c r="BQ64" s="21">
        <f t="shared" ref="BQ64" si="141">AVERAGE(BQ62:BQ63)</f>
        <v>0</v>
      </c>
      <c r="BR64" s="21">
        <f t="shared" ref="BR64" si="142">AVERAGE(BR62:BR63)</f>
        <v>0</v>
      </c>
      <c r="BS64" s="21">
        <f>AVERAGE(BS62:BS63)</f>
        <v>0</v>
      </c>
      <c r="BT64" s="21">
        <f t="shared" ref="BT64" si="143">AVERAGE(BT62:BT63)</f>
        <v>0</v>
      </c>
      <c r="BU64" s="21">
        <f t="shared" ref="BU64" si="144">AVERAGE(BU62:BU63)</f>
        <v>0</v>
      </c>
      <c r="BV64" s="21">
        <f>AVERAGE(BV62:BV63)</f>
        <v>0</v>
      </c>
      <c r="BW64" s="21">
        <f t="shared" ref="BW64" si="145">AVERAGE(BW62:BW63)</f>
        <v>0</v>
      </c>
      <c r="BX64" s="21">
        <f t="shared" ref="BX64" si="146">AVERAGE(BX62:BX63)</f>
        <v>0</v>
      </c>
      <c r="BY64" s="21">
        <f>AVERAGE(BY62:BY63)</f>
        <v>0</v>
      </c>
      <c r="BZ64" s="21">
        <f t="shared" ref="BZ64" si="147">AVERAGE(BZ62:BZ63)</f>
        <v>0</v>
      </c>
      <c r="CA64" s="21">
        <f t="shared" ref="CA64" si="148">AVERAGE(CA62:CA63)</f>
        <v>0</v>
      </c>
      <c r="CB64" s="21">
        <f>AVERAGE(CB62:CB63)</f>
        <v>0</v>
      </c>
      <c r="CC64" s="21">
        <f t="shared" ref="CC64" si="149">AVERAGE(CC62:CC63)</f>
        <v>0</v>
      </c>
      <c r="CD64" s="21">
        <f t="shared" ref="CD64" si="150">AVERAGE(CD62:CD63)</f>
        <v>0</v>
      </c>
      <c r="CE64" s="21">
        <f>AVERAGE(CE62:CE63)</f>
        <v>0</v>
      </c>
      <c r="CF64" s="7">
        <f t="shared" si="86"/>
        <v>0</v>
      </c>
      <c r="CG64" s="7">
        <f t="shared" si="87"/>
        <v>0</v>
      </c>
      <c r="CH64" s="7">
        <f t="shared" si="88"/>
        <v>0</v>
      </c>
      <c r="CI64" s="8">
        <v>6</v>
      </c>
      <c r="CJ64" s="65">
        <f>AVERAGE(CH62:CH63)</f>
        <v>0</v>
      </c>
    </row>
    <row r="65" spans="1:93" s="8" customFormat="1" ht="10.9" customHeight="1" outlineLevel="1" x14ac:dyDescent="0.2">
      <c r="A65" s="79" t="s">
        <v>67</v>
      </c>
      <c r="B65" s="33">
        <v>1</v>
      </c>
      <c r="C65" s="17">
        <v>0</v>
      </c>
      <c r="D65" s="17">
        <v>0</v>
      </c>
      <c r="E65" s="17">
        <v>0</v>
      </c>
      <c r="F65" s="17">
        <v>0</v>
      </c>
      <c r="G65" s="17">
        <v>0</v>
      </c>
      <c r="H65" s="17">
        <v>0</v>
      </c>
      <c r="I65" s="17">
        <v>0</v>
      </c>
      <c r="J65" s="17">
        <v>0</v>
      </c>
      <c r="K65" s="17">
        <v>0</v>
      </c>
      <c r="L65" s="17">
        <v>0</v>
      </c>
      <c r="M65" s="17">
        <v>0</v>
      </c>
      <c r="N65" s="17">
        <v>0</v>
      </c>
      <c r="O65" s="17">
        <v>0</v>
      </c>
      <c r="P65" s="17">
        <v>0</v>
      </c>
      <c r="Q65" s="17">
        <v>0</v>
      </c>
      <c r="R65" s="17">
        <v>0</v>
      </c>
      <c r="S65" s="17">
        <v>0</v>
      </c>
      <c r="T65" s="17">
        <v>0</v>
      </c>
      <c r="U65" s="17">
        <v>0</v>
      </c>
      <c r="V65" s="17">
        <v>0</v>
      </c>
      <c r="W65" s="17">
        <v>0</v>
      </c>
      <c r="X65" s="17">
        <v>0</v>
      </c>
      <c r="Y65" s="17">
        <v>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0</v>
      </c>
      <c r="BQ65" s="17">
        <v>0</v>
      </c>
      <c r="BR65" s="17">
        <v>0</v>
      </c>
      <c r="BS65" s="17">
        <v>0</v>
      </c>
      <c r="BT65" s="17">
        <v>0</v>
      </c>
      <c r="BU65" s="17">
        <v>0</v>
      </c>
      <c r="BV65" s="17">
        <v>0</v>
      </c>
      <c r="BW65" s="17">
        <v>0</v>
      </c>
      <c r="BX65" s="17">
        <v>0</v>
      </c>
      <c r="BY65" s="17">
        <v>0</v>
      </c>
      <c r="BZ65" s="17">
        <v>0</v>
      </c>
      <c r="CA65" s="17">
        <v>0</v>
      </c>
      <c r="CB65" s="17">
        <v>0</v>
      </c>
      <c r="CC65" s="17">
        <v>0</v>
      </c>
      <c r="CD65" s="17">
        <v>0</v>
      </c>
      <c r="CE65" s="17">
        <v>0</v>
      </c>
      <c r="CF65" s="5">
        <f t="shared" si="86"/>
        <v>0</v>
      </c>
      <c r="CG65" s="5">
        <f t="shared" si="87"/>
        <v>0</v>
      </c>
      <c r="CH65" s="5">
        <f t="shared" si="88"/>
        <v>0</v>
      </c>
    </row>
    <row r="66" spans="1:93" s="2" customFormat="1" ht="10.9" customHeight="1" outlineLevel="1" x14ac:dyDescent="0.2">
      <c r="A66" s="80"/>
      <c r="B66" s="33">
        <v>4</v>
      </c>
      <c r="C66" s="17">
        <v>0</v>
      </c>
      <c r="D66" s="17">
        <v>0</v>
      </c>
      <c r="E66" s="17">
        <v>0</v>
      </c>
      <c r="F66" s="17">
        <v>0</v>
      </c>
      <c r="G66" s="17">
        <v>0</v>
      </c>
      <c r="H66" s="17">
        <v>0</v>
      </c>
      <c r="I66" s="17">
        <v>0</v>
      </c>
      <c r="J66" s="17">
        <v>0</v>
      </c>
      <c r="K66" s="17">
        <v>0</v>
      </c>
      <c r="L66" s="17">
        <v>0</v>
      </c>
      <c r="M66" s="17">
        <v>0</v>
      </c>
      <c r="N66" s="17">
        <v>0</v>
      </c>
      <c r="O66" s="17">
        <v>0</v>
      </c>
      <c r="P66" s="17">
        <v>0</v>
      </c>
      <c r="Q66" s="17">
        <v>0</v>
      </c>
      <c r="R66" s="17">
        <v>0</v>
      </c>
      <c r="S66" s="17">
        <v>0</v>
      </c>
      <c r="T66" s="17">
        <v>0</v>
      </c>
      <c r="U66" s="17">
        <v>0</v>
      </c>
      <c r="V66" s="17">
        <v>0</v>
      </c>
      <c r="W66" s="17">
        <v>0</v>
      </c>
      <c r="X66" s="17">
        <v>0</v>
      </c>
      <c r="Y66" s="17">
        <v>0</v>
      </c>
      <c r="Z66" s="17">
        <v>0</v>
      </c>
      <c r="AA66" s="17">
        <v>0</v>
      </c>
      <c r="AB66" s="17">
        <v>0</v>
      </c>
      <c r="AC66" s="17">
        <v>0</v>
      </c>
      <c r="AD66" s="17">
        <v>0</v>
      </c>
      <c r="AE66" s="17">
        <v>0</v>
      </c>
      <c r="AF66" s="17">
        <v>0</v>
      </c>
      <c r="AG66" s="17">
        <v>0</v>
      </c>
      <c r="AH66" s="17">
        <v>0</v>
      </c>
      <c r="AI66" s="17">
        <v>0</v>
      </c>
      <c r="AJ66" s="17">
        <v>0</v>
      </c>
      <c r="AK66" s="17">
        <v>0</v>
      </c>
      <c r="AL66" s="17">
        <v>0</v>
      </c>
      <c r="AM66" s="17">
        <v>0</v>
      </c>
      <c r="AN66" s="17">
        <v>0</v>
      </c>
      <c r="AO66" s="17">
        <v>0</v>
      </c>
      <c r="AP66" s="17">
        <v>0</v>
      </c>
      <c r="AQ66" s="17">
        <v>0</v>
      </c>
      <c r="AR66" s="17">
        <v>0</v>
      </c>
      <c r="AS66" s="17">
        <v>0</v>
      </c>
      <c r="AT66" s="17">
        <v>0</v>
      </c>
      <c r="AU66" s="17">
        <v>0</v>
      </c>
      <c r="AV66" s="17">
        <v>0</v>
      </c>
      <c r="AW66" s="17">
        <v>0</v>
      </c>
      <c r="AX66" s="17">
        <v>0</v>
      </c>
      <c r="AY66" s="17">
        <v>0</v>
      </c>
      <c r="AZ66" s="17">
        <v>0</v>
      </c>
      <c r="BA66" s="17">
        <v>0</v>
      </c>
      <c r="BB66" s="17">
        <v>0</v>
      </c>
      <c r="BC66" s="17">
        <v>0</v>
      </c>
      <c r="BD66" s="17">
        <v>0</v>
      </c>
      <c r="BE66" s="17">
        <v>0</v>
      </c>
      <c r="BF66" s="17">
        <v>0</v>
      </c>
      <c r="BG66" s="17">
        <v>0</v>
      </c>
      <c r="BH66" s="17">
        <v>0</v>
      </c>
      <c r="BI66" s="17">
        <v>0</v>
      </c>
      <c r="BJ66" s="17">
        <v>0</v>
      </c>
      <c r="BK66" s="17">
        <v>0</v>
      </c>
      <c r="BL66" s="17">
        <v>0</v>
      </c>
      <c r="BM66" s="17">
        <v>0</v>
      </c>
      <c r="BN66" s="17">
        <v>0</v>
      </c>
      <c r="BO66" s="17">
        <v>0</v>
      </c>
      <c r="BP66" s="17">
        <v>0</v>
      </c>
      <c r="BQ66" s="17">
        <v>0</v>
      </c>
      <c r="BR66" s="17">
        <v>0</v>
      </c>
      <c r="BS66" s="17">
        <v>0</v>
      </c>
      <c r="BT66" s="17">
        <v>0</v>
      </c>
      <c r="BU66" s="17">
        <v>0</v>
      </c>
      <c r="BV66" s="17">
        <v>0</v>
      </c>
      <c r="BW66" s="17">
        <v>0</v>
      </c>
      <c r="BX66" s="17">
        <v>0</v>
      </c>
      <c r="BY66" s="17">
        <v>0</v>
      </c>
      <c r="BZ66" s="17">
        <v>0</v>
      </c>
      <c r="CA66" s="17">
        <v>0</v>
      </c>
      <c r="CB66" s="17">
        <v>0</v>
      </c>
      <c r="CC66" s="17">
        <v>0</v>
      </c>
      <c r="CD66" s="17">
        <v>0</v>
      </c>
      <c r="CE66" s="17">
        <v>0</v>
      </c>
      <c r="CF66" s="5">
        <f t="shared" si="86"/>
        <v>0</v>
      </c>
      <c r="CG66" s="5">
        <f t="shared" si="87"/>
        <v>0</v>
      </c>
      <c r="CH66" s="5">
        <f t="shared" si="88"/>
        <v>0</v>
      </c>
    </row>
    <row r="67" spans="1:93" s="8" customFormat="1" ht="10.9" customHeight="1" x14ac:dyDescent="0.2">
      <c r="A67" s="81"/>
      <c r="B67" s="24" t="s">
        <v>4</v>
      </c>
      <c r="C67" s="21">
        <f>AVERAGE(C65:C66)</f>
        <v>0</v>
      </c>
      <c r="D67" s="21">
        <f>AVERAGE(D65:D66)</f>
        <v>0</v>
      </c>
      <c r="E67" s="21">
        <f>AVERAGE(E65:E66)</f>
        <v>0</v>
      </c>
      <c r="F67" s="21">
        <f>AVERAGE(F65:F66)</f>
        <v>0</v>
      </c>
      <c r="G67" s="21">
        <f>AVERAGE(G65:G66)</f>
        <v>0</v>
      </c>
      <c r="H67" s="21">
        <f>AVERAGE(H65:H66)</f>
        <v>0</v>
      </c>
      <c r="I67" s="21">
        <f>AVERAGE(I65:I66)</f>
        <v>0</v>
      </c>
      <c r="J67" s="21">
        <f>AVERAGE(J65:J66)</f>
        <v>0</v>
      </c>
      <c r="K67" s="21">
        <f>AVERAGE(K65:K66)</f>
        <v>0</v>
      </c>
      <c r="L67" s="21">
        <f>AVERAGE(L65:L66)</f>
        <v>0</v>
      </c>
      <c r="M67" s="21">
        <f>AVERAGE(M65:M66)</f>
        <v>0</v>
      </c>
      <c r="N67" s="21">
        <f>AVERAGE(N65:N66)</f>
        <v>0</v>
      </c>
      <c r="O67" s="21">
        <f>AVERAGE(O65:O66)</f>
        <v>0</v>
      </c>
      <c r="P67" s="21">
        <f>AVERAGE(P65:P66)</f>
        <v>0</v>
      </c>
      <c r="Q67" s="21">
        <f>AVERAGE(Q65:Q66)</f>
        <v>0</v>
      </c>
      <c r="R67" s="21">
        <f>AVERAGE(R65:R66)</f>
        <v>0</v>
      </c>
      <c r="S67" s="21">
        <f>AVERAGE(S65:S66)</f>
        <v>0</v>
      </c>
      <c r="T67" s="21">
        <f>AVERAGE(T65:T66)</f>
        <v>0</v>
      </c>
      <c r="U67" s="21">
        <f>AVERAGE(U65:U66)</f>
        <v>0</v>
      </c>
      <c r="V67" s="21">
        <f>AVERAGE(V65:V66)</f>
        <v>0</v>
      </c>
      <c r="W67" s="21">
        <f>AVERAGE(W65:W66)</f>
        <v>0</v>
      </c>
      <c r="X67" s="21">
        <f>AVERAGE(X65:X66)</f>
        <v>0</v>
      </c>
      <c r="Y67" s="21">
        <f>AVERAGE(Y65:Y66)</f>
        <v>0</v>
      </c>
      <c r="Z67" s="21">
        <f>AVERAGE(Z65:Z66)</f>
        <v>0</v>
      </c>
      <c r="AA67" s="21">
        <f>AVERAGE(AA65:AA66)</f>
        <v>0</v>
      </c>
      <c r="AB67" s="21">
        <f>AVERAGE(AB65:AB66)</f>
        <v>0</v>
      </c>
      <c r="AC67" s="21">
        <f>AVERAGE(AC65:AC66)</f>
        <v>0</v>
      </c>
      <c r="AD67" s="21">
        <f>AVERAGE(AD65:AD66)</f>
        <v>0</v>
      </c>
      <c r="AE67" s="21">
        <f>AVERAGE(AE65:AE66)</f>
        <v>0</v>
      </c>
      <c r="AF67" s="21">
        <f>AVERAGE(AF65:AF66)</f>
        <v>0</v>
      </c>
      <c r="AG67" s="21">
        <f>AVERAGE(AG65:AG66)</f>
        <v>0</v>
      </c>
      <c r="AH67" s="21">
        <f>AVERAGE(AH65:AH66)</f>
        <v>0</v>
      </c>
      <c r="AI67" s="21">
        <f>AVERAGE(AI65:AI66)</f>
        <v>0</v>
      </c>
      <c r="AJ67" s="21">
        <f>AVERAGE(AJ65:AJ66)</f>
        <v>0</v>
      </c>
      <c r="AK67" s="21">
        <f>AVERAGE(AK65:AK66)</f>
        <v>0</v>
      </c>
      <c r="AL67" s="21">
        <f>AVERAGE(AL65:AL66)</f>
        <v>0</v>
      </c>
      <c r="AM67" s="21">
        <f>AVERAGE(AM65:AM66)</f>
        <v>0</v>
      </c>
      <c r="AN67" s="21">
        <f>AVERAGE(AN65:AN66)</f>
        <v>0</v>
      </c>
      <c r="AO67" s="21">
        <f>AVERAGE(AO65:AO66)</f>
        <v>0</v>
      </c>
      <c r="AP67" s="21">
        <f>AVERAGE(AP65:AP66)</f>
        <v>0</v>
      </c>
      <c r="AQ67" s="21">
        <f>AVERAGE(AQ65:AQ66)</f>
        <v>0</v>
      </c>
      <c r="AR67" s="21">
        <f>AVERAGE(AR65:AR66)</f>
        <v>0</v>
      </c>
      <c r="AS67" s="21">
        <f>AVERAGE(AS65:AS66)</f>
        <v>0</v>
      </c>
      <c r="AT67" s="21">
        <f>AVERAGE(AT65:AT66)</f>
        <v>0</v>
      </c>
      <c r="AU67" s="21">
        <f>AVERAGE(AU65:AU66)</f>
        <v>0</v>
      </c>
      <c r="AV67" s="21">
        <f>AVERAGE(AV65:AV66)</f>
        <v>0</v>
      </c>
      <c r="AW67" s="21">
        <f>AVERAGE(AW65:AW66)</f>
        <v>0</v>
      </c>
      <c r="AX67" s="21">
        <f>AVERAGE(AX65:AX66)</f>
        <v>0</v>
      </c>
      <c r="AY67" s="21">
        <f>AVERAGE(AY65:AY66)</f>
        <v>0</v>
      </c>
      <c r="AZ67" s="21">
        <f>AVERAGE(AZ65:AZ66)</f>
        <v>0</v>
      </c>
      <c r="BA67" s="21">
        <f>AVERAGE(BA65:BA66)</f>
        <v>0</v>
      </c>
      <c r="BB67" s="21">
        <f>AVERAGE(BB65:BB66)</f>
        <v>0</v>
      </c>
      <c r="BC67" s="21">
        <f>AVERAGE(BC65:BC66)</f>
        <v>0</v>
      </c>
      <c r="BD67" s="21">
        <f>AVERAGE(BD65:BD66)</f>
        <v>0</v>
      </c>
      <c r="BE67" s="21">
        <f>AVERAGE(BE65:BE66)</f>
        <v>0</v>
      </c>
      <c r="BF67" s="21">
        <f>AVERAGE(BF65:BF66)</f>
        <v>0</v>
      </c>
      <c r="BG67" s="21">
        <f>AVERAGE(BG65:BG66)</f>
        <v>0</v>
      </c>
      <c r="BH67" s="21">
        <f>AVERAGE(BH65:BH66)</f>
        <v>0</v>
      </c>
      <c r="BI67" s="21">
        <f>AVERAGE(BI65:BI66)</f>
        <v>0</v>
      </c>
      <c r="BJ67" s="21">
        <f>AVERAGE(BJ65:BJ66)</f>
        <v>0</v>
      </c>
      <c r="BK67" s="21">
        <f>AVERAGE(BK65:BK66)</f>
        <v>0</v>
      </c>
      <c r="BL67" s="21">
        <f>AVERAGE(BL65:BL66)</f>
        <v>0</v>
      </c>
      <c r="BM67" s="21">
        <f>AVERAGE(BM65:BM66)</f>
        <v>0</v>
      </c>
      <c r="BN67" s="21">
        <f>AVERAGE(BN65:BN66)</f>
        <v>0</v>
      </c>
      <c r="BO67" s="21">
        <f>AVERAGE(BO65:BO66)</f>
        <v>0</v>
      </c>
      <c r="BP67" s="21">
        <f>AVERAGE(BP65:BP66)</f>
        <v>0</v>
      </c>
      <c r="BQ67" s="21">
        <f>AVERAGE(BQ65:BQ66)</f>
        <v>0</v>
      </c>
      <c r="BR67" s="21">
        <f>AVERAGE(BR65:BR66)</f>
        <v>0</v>
      </c>
      <c r="BS67" s="21">
        <f>AVERAGE(BS65:BS66)</f>
        <v>0</v>
      </c>
      <c r="BT67" s="21">
        <f>AVERAGE(BT65:BT66)</f>
        <v>0</v>
      </c>
      <c r="BU67" s="21">
        <f>AVERAGE(BU65:BU66)</f>
        <v>0</v>
      </c>
      <c r="BV67" s="21">
        <f>AVERAGE(BV65:BV66)</f>
        <v>0</v>
      </c>
      <c r="BW67" s="21">
        <f>AVERAGE(BW65:BW66)</f>
        <v>0</v>
      </c>
      <c r="BX67" s="21">
        <f>AVERAGE(BX65:BX66)</f>
        <v>0</v>
      </c>
      <c r="BY67" s="21">
        <f>AVERAGE(BY65:BY66)</f>
        <v>0</v>
      </c>
      <c r="BZ67" s="21">
        <f>AVERAGE(BZ65:BZ66)</f>
        <v>0</v>
      </c>
      <c r="CA67" s="21">
        <f>AVERAGE(CA65:CA66)</f>
        <v>0</v>
      </c>
      <c r="CB67" s="21">
        <f>AVERAGE(CB65:CB66)</f>
        <v>0</v>
      </c>
      <c r="CC67" s="21">
        <f>AVERAGE(CC65:CC66)</f>
        <v>0</v>
      </c>
      <c r="CD67" s="21">
        <f>AVERAGE(CD65:CD66)</f>
        <v>0</v>
      </c>
      <c r="CE67" s="21">
        <f>AVERAGE(CE65:CE66)</f>
        <v>0</v>
      </c>
      <c r="CF67" s="7">
        <f t="shared" si="86"/>
        <v>0</v>
      </c>
      <c r="CG67" s="7">
        <f t="shared" si="87"/>
        <v>0</v>
      </c>
      <c r="CH67" s="7">
        <f t="shared" si="88"/>
        <v>0</v>
      </c>
      <c r="CI67" s="8">
        <v>7</v>
      </c>
      <c r="CJ67" s="65">
        <f>AVERAGE(CH65:CH66)</f>
        <v>0</v>
      </c>
    </row>
    <row r="68" spans="1:93" s="8" customFormat="1" ht="10.9" customHeight="1" x14ac:dyDescent="0.2">
      <c r="A68" s="79" t="s">
        <v>68</v>
      </c>
      <c r="B68" s="34">
        <v>1</v>
      </c>
      <c r="C68" s="17">
        <v>0</v>
      </c>
      <c r="D68" s="17">
        <v>0</v>
      </c>
      <c r="E68" s="17">
        <v>0</v>
      </c>
      <c r="F68" s="17">
        <v>0</v>
      </c>
      <c r="G68" s="17">
        <v>0</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0</v>
      </c>
      <c r="AB68" s="17">
        <v>0</v>
      </c>
      <c r="AC68" s="17">
        <v>0</v>
      </c>
      <c r="AD68" s="17">
        <v>0</v>
      </c>
      <c r="AE68" s="17">
        <v>0</v>
      </c>
      <c r="AF68" s="17">
        <v>0</v>
      </c>
      <c r="AG68" s="17">
        <v>0</v>
      </c>
      <c r="AH68" s="17">
        <v>0</v>
      </c>
      <c r="AI68" s="17">
        <v>0</v>
      </c>
      <c r="AJ68" s="17">
        <v>0</v>
      </c>
      <c r="AK68" s="17">
        <v>0</v>
      </c>
      <c r="AL68" s="17">
        <v>0</v>
      </c>
      <c r="AM68" s="17">
        <v>0</v>
      </c>
      <c r="AN68" s="17">
        <v>0</v>
      </c>
      <c r="AO68" s="17">
        <v>0</v>
      </c>
      <c r="AP68" s="17">
        <v>0</v>
      </c>
      <c r="AQ68" s="17">
        <v>0</v>
      </c>
      <c r="AR68" s="17">
        <v>0</v>
      </c>
      <c r="AS68" s="17">
        <v>0</v>
      </c>
      <c r="AT68" s="17">
        <v>0</v>
      </c>
      <c r="AU68" s="17">
        <v>0</v>
      </c>
      <c r="AV68" s="17">
        <v>0</v>
      </c>
      <c r="AW68" s="17">
        <v>0</v>
      </c>
      <c r="AX68" s="17">
        <v>0</v>
      </c>
      <c r="AY68" s="17">
        <v>0</v>
      </c>
      <c r="AZ68" s="17">
        <v>0</v>
      </c>
      <c r="BA68" s="17">
        <v>0</v>
      </c>
      <c r="BB68" s="17">
        <v>0</v>
      </c>
      <c r="BC68" s="17">
        <v>0</v>
      </c>
      <c r="BD68" s="17">
        <v>0</v>
      </c>
      <c r="BE68" s="17">
        <v>0</v>
      </c>
      <c r="BF68" s="17">
        <v>0</v>
      </c>
      <c r="BG68" s="17">
        <v>0</v>
      </c>
      <c r="BH68" s="17">
        <v>0</v>
      </c>
      <c r="BI68" s="17">
        <v>0</v>
      </c>
      <c r="BJ68" s="17">
        <v>0</v>
      </c>
      <c r="BK68" s="17">
        <v>0</v>
      </c>
      <c r="BL68" s="17">
        <v>0</v>
      </c>
      <c r="BM68" s="17">
        <v>0</v>
      </c>
      <c r="BN68" s="17">
        <v>0</v>
      </c>
      <c r="BO68" s="17">
        <v>0</v>
      </c>
      <c r="BP68" s="17">
        <v>0</v>
      </c>
      <c r="BQ68" s="17">
        <v>0</v>
      </c>
      <c r="BR68" s="17">
        <v>0</v>
      </c>
      <c r="BS68" s="17">
        <v>0</v>
      </c>
      <c r="BT68" s="17">
        <v>0</v>
      </c>
      <c r="BU68" s="17">
        <v>0</v>
      </c>
      <c r="BV68" s="17">
        <v>0</v>
      </c>
      <c r="BW68" s="17">
        <v>0</v>
      </c>
      <c r="BX68" s="17">
        <v>0</v>
      </c>
      <c r="BY68" s="17">
        <v>0</v>
      </c>
      <c r="BZ68" s="17">
        <v>0</v>
      </c>
      <c r="CA68" s="17">
        <v>0</v>
      </c>
      <c r="CB68" s="17">
        <v>0</v>
      </c>
      <c r="CC68" s="17">
        <v>0</v>
      </c>
      <c r="CD68" s="17">
        <v>0</v>
      </c>
      <c r="CE68" s="17">
        <v>0</v>
      </c>
      <c r="CF68" s="5">
        <f t="shared" si="86"/>
        <v>0</v>
      </c>
      <c r="CG68" s="5">
        <f t="shared" si="87"/>
        <v>0</v>
      </c>
      <c r="CH68" s="5">
        <f t="shared" si="88"/>
        <v>0</v>
      </c>
    </row>
    <row r="69" spans="1:93" s="8" customFormat="1" ht="10.9" customHeight="1" x14ac:dyDescent="0.2">
      <c r="A69" s="80"/>
      <c r="B69" s="35">
        <v>2</v>
      </c>
      <c r="C69" s="17">
        <v>0</v>
      </c>
      <c r="D69" s="17">
        <v>0</v>
      </c>
      <c r="E69" s="17">
        <v>0</v>
      </c>
      <c r="F69" s="17">
        <v>0</v>
      </c>
      <c r="G69" s="17">
        <v>0</v>
      </c>
      <c r="H69" s="17">
        <v>0</v>
      </c>
      <c r="I69" s="17">
        <v>0</v>
      </c>
      <c r="J69" s="17">
        <v>0</v>
      </c>
      <c r="K69" s="17">
        <v>0</v>
      </c>
      <c r="L69" s="17">
        <v>0</v>
      </c>
      <c r="M69" s="17">
        <v>0</v>
      </c>
      <c r="N69" s="17">
        <v>0</v>
      </c>
      <c r="O69" s="17">
        <v>0</v>
      </c>
      <c r="P69" s="17">
        <v>0</v>
      </c>
      <c r="Q69" s="17">
        <v>0</v>
      </c>
      <c r="R69" s="17">
        <v>0</v>
      </c>
      <c r="S69" s="17">
        <v>0</v>
      </c>
      <c r="T69" s="17">
        <v>0</v>
      </c>
      <c r="U69" s="17">
        <v>0</v>
      </c>
      <c r="V69" s="17">
        <v>0</v>
      </c>
      <c r="W69" s="17">
        <v>0</v>
      </c>
      <c r="X69" s="17">
        <v>0</v>
      </c>
      <c r="Y69" s="17">
        <v>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0</v>
      </c>
      <c r="BL69" s="17">
        <v>0</v>
      </c>
      <c r="BM69" s="17">
        <v>0</v>
      </c>
      <c r="BN69" s="17">
        <v>0</v>
      </c>
      <c r="BO69" s="17">
        <v>0</v>
      </c>
      <c r="BP69" s="17">
        <v>0</v>
      </c>
      <c r="BQ69" s="17">
        <v>0</v>
      </c>
      <c r="BR69" s="17">
        <v>0</v>
      </c>
      <c r="BS69" s="17">
        <v>0</v>
      </c>
      <c r="BT69" s="17">
        <v>0</v>
      </c>
      <c r="BU69" s="17">
        <v>0</v>
      </c>
      <c r="BV69" s="17">
        <v>0</v>
      </c>
      <c r="BW69" s="17">
        <v>0</v>
      </c>
      <c r="BX69" s="17">
        <v>0</v>
      </c>
      <c r="BY69" s="17">
        <v>0</v>
      </c>
      <c r="BZ69" s="17">
        <v>0</v>
      </c>
      <c r="CA69" s="17">
        <v>0</v>
      </c>
      <c r="CB69" s="17">
        <v>0</v>
      </c>
      <c r="CC69" s="17">
        <v>0</v>
      </c>
      <c r="CD69" s="17">
        <v>0</v>
      </c>
      <c r="CE69" s="17">
        <v>0</v>
      </c>
      <c r="CF69" s="5">
        <f t="shared" si="86"/>
        <v>0</v>
      </c>
      <c r="CG69" s="5">
        <f t="shared" si="87"/>
        <v>0</v>
      </c>
      <c r="CH69" s="5">
        <f t="shared" si="88"/>
        <v>0</v>
      </c>
    </row>
    <row r="70" spans="1:93" s="8" customFormat="1" ht="10.9" customHeight="1" x14ac:dyDescent="0.2">
      <c r="A70" s="81"/>
      <c r="B70" s="24" t="s">
        <v>4</v>
      </c>
      <c r="C70" s="21">
        <f t="shared" ref="C70:H70" si="151">AVERAGE(C68:C69)</f>
        <v>0</v>
      </c>
      <c r="D70" s="21">
        <f t="shared" si="151"/>
        <v>0</v>
      </c>
      <c r="E70" s="21">
        <f t="shared" si="151"/>
        <v>0</v>
      </c>
      <c r="F70" s="21">
        <f t="shared" si="151"/>
        <v>0</v>
      </c>
      <c r="G70" s="21">
        <f t="shared" si="151"/>
        <v>0</v>
      </c>
      <c r="H70" s="21">
        <f t="shared" si="151"/>
        <v>0</v>
      </c>
      <c r="I70" s="21">
        <f t="shared" ref="I70" si="152">AVERAGE(I68:I69)</f>
        <v>0</v>
      </c>
      <c r="J70" s="21">
        <f t="shared" ref="J70" si="153">AVERAGE(J68:J69)</f>
        <v>0</v>
      </c>
      <c r="K70" s="21">
        <f>AVERAGE(K68:K69)</f>
        <v>0</v>
      </c>
      <c r="L70" s="21">
        <f t="shared" ref="L70" si="154">AVERAGE(L68:L69)</f>
        <v>0</v>
      </c>
      <c r="M70" s="21">
        <f t="shared" ref="M70" si="155">AVERAGE(M68:M69)</f>
        <v>0</v>
      </c>
      <c r="N70" s="21">
        <f>AVERAGE(N68:N69)</f>
        <v>0</v>
      </c>
      <c r="O70" s="21">
        <f t="shared" ref="O70" si="156">AVERAGE(O68:O69)</f>
        <v>0</v>
      </c>
      <c r="P70" s="21">
        <f t="shared" ref="P70" si="157">AVERAGE(P68:P69)</f>
        <v>0</v>
      </c>
      <c r="Q70" s="21">
        <f>AVERAGE(Q68:Q69)</f>
        <v>0</v>
      </c>
      <c r="R70" s="21">
        <f t="shared" ref="R70" si="158">AVERAGE(R68:R69)</f>
        <v>0</v>
      </c>
      <c r="S70" s="21">
        <f t="shared" ref="S70" si="159">AVERAGE(S68:S69)</f>
        <v>0</v>
      </c>
      <c r="T70" s="21">
        <f>AVERAGE(T68:T69)</f>
        <v>0</v>
      </c>
      <c r="U70" s="21">
        <f t="shared" ref="U70" si="160">AVERAGE(U68:U69)</f>
        <v>0</v>
      </c>
      <c r="V70" s="21">
        <f t="shared" ref="V70" si="161">AVERAGE(V68:V69)</f>
        <v>0</v>
      </c>
      <c r="W70" s="21">
        <f>AVERAGE(W68:W69)</f>
        <v>0</v>
      </c>
      <c r="X70" s="21">
        <f t="shared" ref="X70" si="162">AVERAGE(X68:X69)</f>
        <v>0</v>
      </c>
      <c r="Y70" s="21">
        <f t="shared" ref="Y70" si="163">AVERAGE(Y68:Y69)</f>
        <v>0</v>
      </c>
      <c r="Z70" s="21">
        <f>AVERAGE(Z68:Z69)</f>
        <v>0</v>
      </c>
      <c r="AA70" s="21">
        <f t="shared" ref="AA70" si="164">AVERAGE(AA68:AA69)</f>
        <v>0</v>
      </c>
      <c r="AB70" s="21">
        <f t="shared" ref="AB70" si="165">AVERAGE(AB68:AB69)</f>
        <v>0</v>
      </c>
      <c r="AC70" s="21">
        <f>AVERAGE(AC68:AC69)</f>
        <v>0</v>
      </c>
      <c r="AD70" s="21">
        <f t="shared" ref="AD70" si="166">AVERAGE(AD68:AD69)</f>
        <v>0</v>
      </c>
      <c r="AE70" s="21">
        <f t="shared" ref="AE70" si="167">AVERAGE(AE68:AE69)</f>
        <v>0</v>
      </c>
      <c r="AF70" s="21">
        <f>AVERAGE(AF68:AF69)</f>
        <v>0</v>
      </c>
      <c r="AG70" s="21">
        <f t="shared" ref="AG70" si="168">AVERAGE(AG68:AG69)</f>
        <v>0</v>
      </c>
      <c r="AH70" s="21">
        <f t="shared" ref="AH70" si="169">AVERAGE(AH68:AH69)</f>
        <v>0</v>
      </c>
      <c r="AI70" s="21">
        <f>AVERAGE(AI68:AI69)</f>
        <v>0</v>
      </c>
      <c r="AJ70" s="21">
        <f t="shared" ref="AJ70" si="170">AVERAGE(AJ68:AJ69)</f>
        <v>0</v>
      </c>
      <c r="AK70" s="21">
        <f t="shared" ref="AK70" si="171">AVERAGE(AK68:AK69)</f>
        <v>0</v>
      </c>
      <c r="AL70" s="21">
        <f>AVERAGE(AL68:AL69)</f>
        <v>0</v>
      </c>
      <c r="AM70" s="21">
        <f t="shared" ref="AM70" si="172">AVERAGE(AM68:AM69)</f>
        <v>0</v>
      </c>
      <c r="AN70" s="21">
        <f t="shared" ref="AN70" si="173">AVERAGE(AN68:AN69)</f>
        <v>0</v>
      </c>
      <c r="AO70" s="21">
        <f>AVERAGE(AO68:AO69)</f>
        <v>0</v>
      </c>
      <c r="AP70" s="21">
        <f t="shared" ref="AP70" si="174">AVERAGE(AP68:AP69)</f>
        <v>0</v>
      </c>
      <c r="AQ70" s="21">
        <f t="shared" ref="AQ70" si="175">AVERAGE(AQ68:AQ69)</f>
        <v>0</v>
      </c>
      <c r="AR70" s="21">
        <f>AVERAGE(AR68:AR69)</f>
        <v>0</v>
      </c>
      <c r="AS70" s="21">
        <f t="shared" ref="AS70" si="176">AVERAGE(AS68:AS69)</f>
        <v>0</v>
      </c>
      <c r="AT70" s="21">
        <f t="shared" ref="AT70" si="177">AVERAGE(AT68:AT69)</f>
        <v>0</v>
      </c>
      <c r="AU70" s="21">
        <f>AVERAGE(AU68:AU69)</f>
        <v>0</v>
      </c>
      <c r="AV70" s="21">
        <f t="shared" ref="AV70" si="178">AVERAGE(AV68:AV69)</f>
        <v>0</v>
      </c>
      <c r="AW70" s="21">
        <f t="shared" ref="AW70" si="179">AVERAGE(AW68:AW69)</f>
        <v>0</v>
      </c>
      <c r="AX70" s="21">
        <f>AVERAGE(AX68:AX69)</f>
        <v>0</v>
      </c>
      <c r="AY70" s="21">
        <f t="shared" ref="AY70" si="180">AVERAGE(AY68:AY69)</f>
        <v>0</v>
      </c>
      <c r="AZ70" s="21">
        <f t="shared" ref="AZ70" si="181">AVERAGE(AZ68:AZ69)</f>
        <v>0</v>
      </c>
      <c r="BA70" s="21">
        <f>AVERAGE(BA68:BA69)</f>
        <v>0</v>
      </c>
      <c r="BB70" s="21">
        <f t="shared" ref="BB70" si="182">AVERAGE(BB68:BB69)</f>
        <v>0</v>
      </c>
      <c r="BC70" s="21">
        <f t="shared" ref="BC70" si="183">AVERAGE(BC68:BC69)</f>
        <v>0</v>
      </c>
      <c r="BD70" s="21">
        <f>AVERAGE(BD68:BD69)</f>
        <v>0</v>
      </c>
      <c r="BE70" s="21">
        <f t="shared" ref="BE70" si="184">AVERAGE(BE68:BE69)</f>
        <v>0</v>
      </c>
      <c r="BF70" s="21">
        <f t="shared" ref="BF70" si="185">AVERAGE(BF68:BF69)</f>
        <v>0</v>
      </c>
      <c r="BG70" s="21">
        <f>AVERAGE(BG68:BG69)</f>
        <v>0</v>
      </c>
      <c r="BH70" s="21">
        <f t="shared" ref="BH70:BI70" si="186">AVERAGE(BH68:BH69)</f>
        <v>0</v>
      </c>
      <c r="BI70" s="21">
        <f t="shared" si="186"/>
        <v>0</v>
      </c>
      <c r="BJ70" s="21">
        <f>AVERAGE(BJ68:BJ69)</f>
        <v>0</v>
      </c>
      <c r="BK70" s="21">
        <f t="shared" ref="BK70" si="187">AVERAGE(BK68:BK69)</f>
        <v>0</v>
      </c>
      <c r="BL70" s="21">
        <f t="shared" ref="BL70" si="188">AVERAGE(BL68:BL69)</f>
        <v>0</v>
      </c>
      <c r="BM70" s="21">
        <f>AVERAGE(BM68:BM69)</f>
        <v>0</v>
      </c>
      <c r="BN70" s="21">
        <f t="shared" ref="BN70" si="189">AVERAGE(BN68:BN69)</f>
        <v>0</v>
      </c>
      <c r="BO70" s="21">
        <f t="shared" ref="BO70" si="190">AVERAGE(BO68:BO69)</f>
        <v>0</v>
      </c>
      <c r="BP70" s="21">
        <f>AVERAGE(BP68:BP69)</f>
        <v>0</v>
      </c>
      <c r="BQ70" s="21">
        <f t="shared" ref="BQ70" si="191">AVERAGE(BQ68:BQ69)</f>
        <v>0</v>
      </c>
      <c r="BR70" s="21">
        <f t="shared" ref="BR70" si="192">AVERAGE(BR68:BR69)</f>
        <v>0</v>
      </c>
      <c r="BS70" s="21">
        <f>AVERAGE(BS68:BS69)</f>
        <v>0</v>
      </c>
      <c r="BT70" s="21">
        <f t="shared" ref="BT70" si="193">AVERAGE(BT68:BT69)</f>
        <v>0</v>
      </c>
      <c r="BU70" s="21">
        <f t="shared" ref="BU70" si="194">AVERAGE(BU68:BU69)</f>
        <v>0</v>
      </c>
      <c r="BV70" s="21">
        <f>AVERAGE(BV68:BV69)</f>
        <v>0</v>
      </c>
      <c r="BW70" s="21">
        <f t="shared" ref="BW70" si="195">AVERAGE(BW68:BW69)</f>
        <v>0</v>
      </c>
      <c r="BX70" s="21">
        <f t="shared" ref="BX70" si="196">AVERAGE(BX68:BX69)</f>
        <v>0</v>
      </c>
      <c r="BY70" s="21">
        <f>AVERAGE(BY68:BY69)</f>
        <v>0</v>
      </c>
      <c r="BZ70" s="21">
        <f t="shared" ref="BZ70" si="197">AVERAGE(BZ68:BZ69)</f>
        <v>0</v>
      </c>
      <c r="CA70" s="21">
        <f t="shared" ref="CA70" si="198">AVERAGE(CA68:CA69)</f>
        <v>0</v>
      </c>
      <c r="CB70" s="21">
        <f>AVERAGE(CB68:CB69)</f>
        <v>0</v>
      </c>
      <c r="CC70" s="21">
        <f t="shared" ref="CC70" si="199">AVERAGE(CC68:CC69)</f>
        <v>0</v>
      </c>
      <c r="CD70" s="21">
        <f t="shared" ref="CD70" si="200">AVERAGE(CD68:CD69)</f>
        <v>0</v>
      </c>
      <c r="CE70" s="21">
        <f>AVERAGE(CE68:CE69)</f>
        <v>0</v>
      </c>
      <c r="CF70" s="7">
        <f t="shared" si="86"/>
        <v>0</v>
      </c>
      <c r="CG70" s="7">
        <f t="shared" si="87"/>
        <v>0</v>
      </c>
      <c r="CH70" s="7">
        <f t="shared" si="88"/>
        <v>0</v>
      </c>
      <c r="CI70" s="8">
        <v>8</v>
      </c>
      <c r="CJ70" s="66">
        <f>AVERAGE(CH68:CH69)</f>
        <v>0</v>
      </c>
    </row>
    <row r="71" spans="1:93" s="8" customFormat="1" ht="10.15" customHeight="1" outlineLevel="1" x14ac:dyDescent="0.2">
      <c r="A71" s="79" t="s">
        <v>69</v>
      </c>
      <c r="B71" s="34">
        <v>1</v>
      </c>
      <c r="C71" s="17">
        <v>0</v>
      </c>
      <c r="D71" s="17">
        <v>0</v>
      </c>
      <c r="E71" s="17">
        <v>0</v>
      </c>
      <c r="F71" s="17">
        <v>0</v>
      </c>
      <c r="G71" s="17">
        <v>0</v>
      </c>
      <c r="H71" s="17">
        <v>0</v>
      </c>
      <c r="I71" s="17">
        <v>0</v>
      </c>
      <c r="J71" s="17">
        <v>0</v>
      </c>
      <c r="K71" s="17">
        <v>0</v>
      </c>
      <c r="L71" s="17">
        <v>0</v>
      </c>
      <c r="M71" s="17">
        <v>0</v>
      </c>
      <c r="N71" s="17">
        <v>0</v>
      </c>
      <c r="O71" s="17">
        <v>0</v>
      </c>
      <c r="P71" s="17">
        <v>0</v>
      </c>
      <c r="Q71" s="17">
        <v>0</v>
      </c>
      <c r="R71" s="17">
        <v>0</v>
      </c>
      <c r="S71" s="17">
        <v>0</v>
      </c>
      <c r="T71" s="17">
        <v>0</v>
      </c>
      <c r="U71" s="17">
        <v>0</v>
      </c>
      <c r="V71" s="17">
        <v>0</v>
      </c>
      <c r="W71" s="17">
        <v>0</v>
      </c>
      <c r="X71" s="17">
        <v>0</v>
      </c>
      <c r="Y71" s="17">
        <v>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0</v>
      </c>
      <c r="BQ71" s="17">
        <v>0</v>
      </c>
      <c r="BR71" s="17">
        <v>0</v>
      </c>
      <c r="BS71" s="17">
        <v>0</v>
      </c>
      <c r="BT71" s="17">
        <v>0</v>
      </c>
      <c r="BU71" s="17">
        <v>0</v>
      </c>
      <c r="BV71" s="17">
        <v>0</v>
      </c>
      <c r="BW71" s="17">
        <v>0</v>
      </c>
      <c r="BX71" s="17">
        <v>0</v>
      </c>
      <c r="BY71" s="17">
        <v>0</v>
      </c>
      <c r="BZ71" s="17">
        <v>0</v>
      </c>
      <c r="CA71" s="17">
        <v>0</v>
      </c>
      <c r="CB71" s="17">
        <v>0</v>
      </c>
      <c r="CC71" s="17">
        <v>0</v>
      </c>
      <c r="CD71" s="17">
        <v>0</v>
      </c>
      <c r="CE71" s="17">
        <v>0</v>
      </c>
      <c r="CF71" s="5">
        <f t="shared" si="86"/>
        <v>0</v>
      </c>
      <c r="CG71" s="5">
        <f t="shared" si="87"/>
        <v>0</v>
      </c>
      <c r="CH71" s="5">
        <f t="shared" si="88"/>
        <v>0</v>
      </c>
      <c r="CJ71" s="55"/>
    </row>
    <row r="72" spans="1:93" s="2" customFormat="1" ht="12" outlineLevel="1" x14ac:dyDescent="0.2">
      <c r="A72" s="80"/>
      <c r="B72" s="35">
        <v>2</v>
      </c>
      <c r="C72" s="17">
        <v>0</v>
      </c>
      <c r="D72" s="17">
        <v>0</v>
      </c>
      <c r="E72" s="17">
        <v>0</v>
      </c>
      <c r="F72" s="17">
        <v>0</v>
      </c>
      <c r="G72" s="17">
        <v>0</v>
      </c>
      <c r="H72" s="17">
        <v>0</v>
      </c>
      <c r="I72" s="17">
        <v>0</v>
      </c>
      <c r="J72" s="17">
        <v>0</v>
      </c>
      <c r="K72" s="17">
        <v>0</v>
      </c>
      <c r="L72" s="17">
        <v>0</v>
      </c>
      <c r="M72" s="17">
        <v>0</v>
      </c>
      <c r="N72" s="17">
        <v>0</v>
      </c>
      <c r="O72" s="17">
        <v>0</v>
      </c>
      <c r="P72" s="17">
        <v>0</v>
      </c>
      <c r="Q72" s="17">
        <v>0</v>
      </c>
      <c r="R72" s="17">
        <v>0</v>
      </c>
      <c r="S72" s="17">
        <v>0</v>
      </c>
      <c r="T72" s="17">
        <v>0</v>
      </c>
      <c r="U72" s="17">
        <v>0</v>
      </c>
      <c r="V72" s="17">
        <v>0</v>
      </c>
      <c r="W72" s="17">
        <v>0</v>
      </c>
      <c r="X72" s="17">
        <v>0</v>
      </c>
      <c r="Y72" s="17">
        <v>0</v>
      </c>
      <c r="Z72" s="17">
        <v>0</v>
      </c>
      <c r="AA72" s="17">
        <v>0</v>
      </c>
      <c r="AB72" s="17">
        <v>0</v>
      </c>
      <c r="AC72" s="17">
        <v>0</v>
      </c>
      <c r="AD72" s="17">
        <v>0</v>
      </c>
      <c r="AE72" s="17">
        <v>0</v>
      </c>
      <c r="AF72" s="17">
        <v>0</v>
      </c>
      <c r="AG72" s="17">
        <v>0</v>
      </c>
      <c r="AH72" s="17">
        <v>0</v>
      </c>
      <c r="AI72" s="17">
        <v>0</v>
      </c>
      <c r="AJ72" s="17">
        <v>0</v>
      </c>
      <c r="AK72" s="17">
        <v>0</v>
      </c>
      <c r="AL72" s="17">
        <v>0</v>
      </c>
      <c r="AM72" s="17">
        <v>0</v>
      </c>
      <c r="AN72" s="17">
        <v>0</v>
      </c>
      <c r="AO72" s="17">
        <v>0</v>
      </c>
      <c r="AP72" s="17">
        <v>0</v>
      </c>
      <c r="AQ72" s="17">
        <v>0</v>
      </c>
      <c r="AR72" s="17">
        <v>0</v>
      </c>
      <c r="AS72" s="17">
        <v>0</v>
      </c>
      <c r="AT72" s="17">
        <v>0</v>
      </c>
      <c r="AU72" s="17">
        <v>0</v>
      </c>
      <c r="AV72" s="17">
        <v>0</v>
      </c>
      <c r="AW72" s="17">
        <v>0</v>
      </c>
      <c r="AX72" s="17">
        <v>0</v>
      </c>
      <c r="AY72" s="17">
        <v>0</v>
      </c>
      <c r="AZ72" s="17">
        <v>0</v>
      </c>
      <c r="BA72" s="17">
        <v>0</v>
      </c>
      <c r="BB72" s="17">
        <v>0</v>
      </c>
      <c r="BC72" s="17">
        <v>0</v>
      </c>
      <c r="BD72" s="17">
        <v>0</v>
      </c>
      <c r="BE72" s="17">
        <v>0</v>
      </c>
      <c r="BF72" s="17">
        <v>0</v>
      </c>
      <c r="BG72" s="17">
        <v>0</v>
      </c>
      <c r="BH72" s="17">
        <v>0</v>
      </c>
      <c r="BI72" s="17">
        <v>0</v>
      </c>
      <c r="BJ72" s="17">
        <v>0</v>
      </c>
      <c r="BK72" s="17">
        <v>0</v>
      </c>
      <c r="BL72" s="17">
        <v>0</v>
      </c>
      <c r="BM72" s="17">
        <v>0</v>
      </c>
      <c r="BN72" s="17">
        <v>0</v>
      </c>
      <c r="BO72" s="17">
        <v>0</v>
      </c>
      <c r="BP72" s="17">
        <v>0</v>
      </c>
      <c r="BQ72" s="17">
        <v>0</v>
      </c>
      <c r="BR72" s="17">
        <v>0</v>
      </c>
      <c r="BS72" s="17">
        <v>0</v>
      </c>
      <c r="BT72" s="17">
        <v>0</v>
      </c>
      <c r="BU72" s="17">
        <v>0</v>
      </c>
      <c r="BV72" s="17">
        <v>0</v>
      </c>
      <c r="BW72" s="17">
        <v>0</v>
      </c>
      <c r="BX72" s="17">
        <v>0</v>
      </c>
      <c r="BY72" s="17">
        <v>0</v>
      </c>
      <c r="BZ72" s="17">
        <v>0</v>
      </c>
      <c r="CA72" s="17">
        <v>0</v>
      </c>
      <c r="CB72" s="17">
        <v>0</v>
      </c>
      <c r="CC72" s="17">
        <v>0</v>
      </c>
      <c r="CD72" s="17">
        <v>0</v>
      </c>
      <c r="CE72" s="17">
        <v>0</v>
      </c>
      <c r="CF72" s="5">
        <f t="shared" si="86"/>
        <v>0</v>
      </c>
      <c r="CG72" s="5">
        <f t="shared" si="87"/>
        <v>0</v>
      </c>
      <c r="CH72" s="5">
        <f t="shared" si="88"/>
        <v>0</v>
      </c>
      <c r="CJ72" s="67"/>
    </row>
    <row r="73" spans="1:93" s="8" customFormat="1" ht="21" x14ac:dyDescent="0.2">
      <c r="A73" s="81"/>
      <c r="B73" s="25" t="s">
        <v>4</v>
      </c>
      <c r="C73" s="26">
        <f>AVERAGE(C71:C72)</f>
        <v>0</v>
      </c>
      <c r="D73" s="26">
        <f t="shared" ref="D73:O73" si="201">AVERAGE(D71:D72)</f>
        <v>0</v>
      </c>
      <c r="E73" s="21">
        <f>AVERAGE(E71:E72)</f>
        <v>0</v>
      </c>
      <c r="F73" s="26">
        <f t="shared" si="201"/>
        <v>0</v>
      </c>
      <c r="G73" s="26">
        <f t="shared" si="201"/>
        <v>0</v>
      </c>
      <c r="H73" s="21">
        <f>AVERAGE(H71:H72)</f>
        <v>0</v>
      </c>
      <c r="I73" s="26">
        <f t="shared" ref="I73:J73" si="202">AVERAGE(I71:I72)</f>
        <v>0</v>
      </c>
      <c r="J73" s="26">
        <f t="shared" si="202"/>
        <v>0</v>
      </c>
      <c r="K73" s="21">
        <f>AVERAGE(K71:K72)</f>
        <v>0</v>
      </c>
      <c r="L73" s="26">
        <f t="shared" si="201"/>
        <v>0</v>
      </c>
      <c r="M73" s="26">
        <f t="shared" si="201"/>
        <v>0</v>
      </c>
      <c r="N73" s="21">
        <f>AVERAGE(N71:N72)</f>
        <v>0</v>
      </c>
      <c r="O73" s="26">
        <f t="shared" si="201"/>
        <v>0</v>
      </c>
      <c r="P73" s="26">
        <f t="shared" ref="P73" si="203">AVERAGE(P71:P72)</f>
        <v>0</v>
      </c>
      <c r="Q73" s="21">
        <f>AVERAGE(Q71:Q72)</f>
        <v>0</v>
      </c>
      <c r="R73" s="26">
        <f t="shared" ref="R73" si="204">AVERAGE(R71:R72)</f>
        <v>0</v>
      </c>
      <c r="S73" s="26">
        <f t="shared" ref="S73" si="205">AVERAGE(S71:S72)</f>
        <v>0</v>
      </c>
      <c r="T73" s="21">
        <f>AVERAGE(T71:T72)</f>
        <v>0</v>
      </c>
      <c r="U73" s="26">
        <f t="shared" ref="U73" si="206">AVERAGE(U71:U72)</f>
        <v>0</v>
      </c>
      <c r="V73" s="26">
        <f t="shared" ref="V73" si="207">AVERAGE(V71:V72)</f>
        <v>0</v>
      </c>
      <c r="W73" s="21">
        <f>AVERAGE(W71:W72)</f>
        <v>0</v>
      </c>
      <c r="X73" s="26">
        <f t="shared" ref="X73" si="208">AVERAGE(X71:X72)</f>
        <v>0</v>
      </c>
      <c r="Y73" s="26">
        <f t="shared" ref="Y73" si="209">AVERAGE(Y71:Y72)</f>
        <v>0</v>
      </c>
      <c r="Z73" s="21">
        <f>AVERAGE(Z71:Z72)</f>
        <v>0</v>
      </c>
      <c r="AA73" s="26">
        <f t="shared" ref="AA73" si="210">AVERAGE(AA71:AA72)</f>
        <v>0</v>
      </c>
      <c r="AB73" s="26">
        <f t="shared" ref="AB73" si="211">AVERAGE(AB71:AB72)</f>
        <v>0</v>
      </c>
      <c r="AC73" s="21">
        <f>AVERAGE(AC71:AC72)</f>
        <v>0</v>
      </c>
      <c r="AD73" s="26">
        <f t="shared" ref="AD73" si="212">AVERAGE(AD71:AD72)</f>
        <v>0</v>
      </c>
      <c r="AE73" s="26">
        <f t="shared" ref="AE73" si="213">AVERAGE(AE71:AE72)</f>
        <v>0</v>
      </c>
      <c r="AF73" s="21">
        <f>AVERAGE(AF71:AF72)</f>
        <v>0</v>
      </c>
      <c r="AG73" s="26">
        <f>AVERAGE(AG71:AG72)</f>
        <v>0</v>
      </c>
      <c r="AH73" s="26">
        <f t="shared" ref="AH73" si="214">AVERAGE(AH71:AH72)</f>
        <v>0</v>
      </c>
      <c r="AI73" s="21">
        <f>AVERAGE(AI71:AI72)</f>
        <v>0</v>
      </c>
      <c r="AJ73" s="26">
        <f t="shared" ref="AJ73" si="215">AVERAGE(AJ71:AJ72)</f>
        <v>0</v>
      </c>
      <c r="AK73" s="26">
        <f t="shared" ref="AK73" si="216">AVERAGE(AK71:AK72)</f>
        <v>0</v>
      </c>
      <c r="AL73" s="21">
        <f>AVERAGE(AL71:AL72)</f>
        <v>0</v>
      </c>
      <c r="AM73" s="26">
        <f t="shared" ref="AM73" si="217">AVERAGE(AM71:AM72)</f>
        <v>0</v>
      </c>
      <c r="AN73" s="26">
        <f t="shared" ref="AN73" si="218">AVERAGE(AN71:AN72)</f>
        <v>0</v>
      </c>
      <c r="AO73" s="21">
        <f>AVERAGE(AO71:AO72)</f>
        <v>0</v>
      </c>
      <c r="AP73" s="26">
        <f t="shared" ref="AP73" si="219">AVERAGE(AP71:AP72)</f>
        <v>0</v>
      </c>
      <c r="AQ73" s="26">
        <f t="shared" ref="AQ73" si="220">AVERAGE(AQ71:AQ72)</f>
        <v>0</v>
      </c>
      <c r="AR73" s="21">
        <f>AVERAGE(AR71:AR72)</f>
        <v>0</v>
      </c>
      <c r="AS73" s="26">
        <f t="shared" ref="AS73" si="221">AVERAGE(AS71:AS72)</f>
        <v>0</v>
      </c>
      <c r="AT73" s="26">
        <f t="shared" ref="AT73" si="222">AVERAGE(AT71:AT72)</f>
        <v>0</v>
      </c>
      <c r="AU73" s="21">
        <f>AVERAGE(AU71:AU72)</f>
        <v>0</v>
      </c>
      <c r="AV73" s="26">
        <f t="shared" ref="AV73" si="223">AVERAGE(AV71:AV72)</f>
        <v>0</v>
      </c>
      <c r="AW73" s="26">
        <f t="shared" ref="AW73" si="224">AVERAGE(AW71:AW72)</f>
        <v>0</v>
      </c>
      <c r="AX73" s="21">
        <f>AVERAGE(AX71:AX72)</f>
        <v>0</v>
      </c>
      <c r="AY73" s="26">
        <f t="shared" ref="AY73" si="225">AVERAGE(AY71:AY72)</f>
        <v>0</v>
      </c>
      <c r="AZ73" s="26">
        <f t="shared" ref="AZ73" si="226">AVERAGE(AZ71:AZ72)</f>
        <v>0</v>
      </c>
      <c r="BA73" s="21">
        <f>AVERAGE(BA71:BA72)</f>
        <v>0</v>
      </c>
      <c r="BB73" s="26">
        <f t="shared" ref="BB73" si="227">AVERAGE(BB71:BB72)</f>
        <v>0</v>
      </c>
      <c r="BC73" s="26">
        <f t="shared" ref="BC73" si="228">AVERAGE(BC71:BC72)</f>
        <v>0</v>
      </c>
      <c r="BD73" s="21">
        <f>AVERAGE(BD71:BD72)</f>
        <v>0</v>
      </c>
      <c r="BE73" s="26">
        <f t="shared" ref="BE73" si="229">AVERAGE(BE71:BE72)</f>
        <v>0</v>
      </c>
      <c r="BF73" s="26">
        <f t="shared" ref="BF73" si="230">AVERAGE(BF71:BF72)</f>
        <v>0</v>
      </c>
      <c r="BG73" s="21">
        <f>AVERAGE(BG71:BG72)</f>
        <v>0</v>
      </c>
      <c r="BH73" s="26">
        <f t="shared" ref="BH73:BI73" si="231">AVERAGE(BH71:BH72)</f>
        <v>0</v>
      </c>
      <c r="BI73" s="26">
        <f t="shared" si="231"/>
        <v>0</v>
      </c>
      <c r="BJ73" s="21">
        <f>AVERAGE(BJ71:BJ72)</f>
        <v>0</v>
      </c>
      <c r="BK73" s="26">
        <f t="shared" ref="BK73" si="232">AVERAGE(BK71:BK72)</f>
        <v>0</v>
      </c>
      <c r="BL73" s="26">
        <f t="shared" ref="BL73" si="233">AVERAGE(BL71:BL72)</f>
        <v>0</v>
      </c>
      <c r="BM73" s="21">
        <f>AVERAGE(BM71:BM72)</f>
        <v>0</v>
      </c>
      <c r="BN73" s="26">
        <f t="shared" ref="BN73:BO73" si="234">AVERAGE(BN71:BN72)</f>
        <v>0</v>
      </c>
      <c r="BO73" s="26">
        <f t="shared" si="234"/>
        <v>0</v>
      </c>
      <c r="BP73" s="21">
        <f>AVERAGE(BP71:BP72)</f>
        <v>0</v>
      </c>
      <c r="BQ73" s="26">
        <f t="shared" ref="BQ73:BX73" si="235">AVERAGE(BQ71:BQ72)</f>
        <v>0</v>
      </c>
      <c r="BR73" s="26">
        <f t="shared" si="235"/>
        <v>0</v>
      </c>
      <c r="BS73" s="21">
        <f>AVERAGE(BS71:BS72)</f>
        <v>0</v>
      </c>
      <c r="BT73" s="26">
        <f t="shared" si="235"/>
        <v>0</v>
      </c>
      <c r="BU73" s="26">
        <f t="shared" si="235"/>
        <v>0</v>
      </c>
      <c r="BV73" s="21">
        <f>AVERAGE(BV71:BV72)</f>
        <v>0</v>
      </c>
      <c r="BW73" s="26">
        <f t="shared" si="235"/>
        <v>0</v>
      </c>
      <c r="BX73" s="26">
        <f t="shared" si="235"/>
        <v>0</v>
      </c>
      <c r="BY73" s="21">
        <f>AVERAGE(BY71:BY72)</f>
        <v>0</v>
      </c>
      <c r="BZ73" s="26">
        <f t="shared" ref="BZ73" si="236">AVERAGE(BZ71:BZ72)</f>
        <v>0</v>
      </c>
      <c r="CA73" s="26">
        <f t="shared" ref="CA73" si="237">AVERAGE(CA71:CA72)</f>
        <v>0</v>
      </c>
      <c r="CB73" s="21">
        <f>AVERAGE(CB71:CB72)</f>
        <v>0</v>
      </c>
      <c r="CC73" s="26">
        <f>AVERAGE(CC71:CC72)</f>
        <v>0</v>
      </c>
      <c r="CD73" s="26">
        <f t="shared" ref="CD73" si="238">AVERAGE(CD71:CD72)</f>
        <v>0</v>
      </c>
      <c r="CE73" s="21">
        <f>AVERAGE(CE71:CE72)</f>
        <v>0</v>
      </c>
      <c r="CF73" s="7">
        <f t="shared" si="86"/>
        <v>0</v>
      </c>
      <c r="CG73" s="7">
        <f t="shared" si="87"/>
        <v>0</v>
      </c>
      <c r="CH73" s="7">
        <f t="shared" si="88"/>
        <v>0</v>
      </c>
      <c r="CI73" s="55">
        <v>9</v>
      </c>
      <c r="CJ73" s="66">
        <f>AVERAGE(CH71:CH72)</f>
        <v>0</v>
      </c>
    </row>
    <row r="74" spans="1:93" ht="10.9" customHeight="1" x14ac:dyDescent="0.25">
      <c r="A74" s="48"/>
      <c r="B74" s="47" t="s">
        <v>70</v>
      </c>
      <c r="C74" s="45">
        <f>AVERAGE(C50,C53,C56,C59,C61,C64,C67,C70,C73)</f>
        <v>0</v>
      </c>
      <c r="D74" s="45">
        <f>AVERAGE(D50,D53,D56,D59,D61,D64,D67,D70,D73)</f>
        <v>0</v>
      </c>
      <c r="E74" s="46">
        <f>AVERAGE(E50,E53,E56,E59,E61,E64,E67,E70,E73)</f>
        <v>0</v>
      </c>
      <c r="F74" s="45">
        <f>AVERAGE(F50,F53,F56,F59,F61,F64,F67,F70,F73)</f>
        <v>0</v>
      </c>
      <c r="G74" s="45">
        <f>AVERAGE(G50,G53,G56,G59,G61,G64,G67,G70,G73)</f>
        <v>0</v>
      </c>
      <c r="H74" s="46">
        <f>AVERAGE(H50,H53,H56,H59,H61,H64,H67,H70,H73)</f>
        <v>0</v>
      </c>
      <c r="I74" s="45">
        <f>AVERAGE(I50,I53,I56,I59,I61,I64,I67,I70,I73)</f>
        <v>0</v>
      </c>
      <c r="J74" s="45">
        <f>AVERAGE(J50,J53,J56,J59,J61,J64,J67,J70,J73)</f>
        <v>0</v>
      </c>
      <c r="K74" s="46">
        <f>AVERAGE(K50,K53,K56,K59,K61,K64,K67,K70,K73)</f>
        <v>0</v>
      </c>
      <c r="L74" s="45">
        <f>AVERAGE(L50,L53,L56,L59,L61,L64,L67,L70,L73)</f>
        <v>0</v>
      </c>
      <c r="M74" s="45">
        <f>AVERAGE(M50,M53,M56,M59,M61,M64,M67,M70,M73)</f>
        <v>0</v>
      </c>
      <c r="N74" s="46">
        <f>AVERAGE(N50,N53,N56,N59,N61,N64,N67,N70,N73)</f>
        <v>0</v>
      </c>
      <c r="O74" s="45">
        <f>AVERAGE(O50,O53,O56,O59,O61,O64,O67,O70,O73)</f>
        <v>0</v>
      </c>
      <c r="P74" s="45">
        <f>AVERAGE(P50,P53,P56,P59,P61,P64,P67,P70,P73)</f>
        <v>0</v>
      </c>
      <c r="Q74" s="46">
        <f>AVERAGE(Q50,Q53,Q56,Q59,Q61,Q64,Q67,Q70,Q73)</f>
        <v>0</v>
      </c>
      <c r="R74" s="45">
        <f>AVERAGE(R50,R53,R56,R59,R61,R64,R67,R70,R73)</f>
        <v>0</v>
      </c>
      <c r="S74" s="45">
        <f>AVERAGE(S50,S53,S56,S59,S61,S64,S67,S70,S73)</f>
        <v>0</v>
      </c>
      <c r="T74" s="46">
        <f>AVERAGE(T50,T53,T56,T59,T61,T64,T67,T70,T73)</f>
        <v>0</v>
      </c>
      <c r="U74" s="45">
        <f>AVERAGE(U50,U53,U56,U59,U61,U64,U67,U70,U73)</f>
        <v>0</v>
      </c>
      <c r="V74" s="45">
        <f>AVERAGE(V50,V53,V56,V59,V61,V64,V67,V70,V73)</f>
        <v>0</v>
      </c>
      <c r="W74" s="46">
        <f>AVERAGE(W50,W53,W56,W59,W61,W64,W67,W70,W73)</f>
        <v>0</v>
      </c>
      <c r="X74" s="45">
        <f>AVERAGE(X50,X53,X56,X59,X61,X64,X67,X70,X73)</f>
        <v>0</v>
      </c>
      <c r="Y74" s="45">
        <f>AVERAGE(Y50,Y53,Y56,Y59,Y61,Y64,Y67,Y70,Y73)</f>
        <v>0</v>
      </c>
      <c r="Z74" s="46">
        <f>AVERAGE(Z50,Z53,Z56,Z59,Z61,Z64,Z67,Z70,Z73)</f>
        <v>0</v>
      </c>
      <c r="AA74" s="45">
        <f>AVERAGE(AA50,AA53,AA56,AA59,AA61,AA64,AA67,AA70,AA73)</f>
        <v>0</v>
      </c>
      <c r="AB74" s="45">
        <f>AVERAGE(AB50,AB53,AB56,AB59,AB61,AB64,AB67,AB70,AB73)</f>
        <v>0</v>
      </c>
      <c r="AC74" s="46">
        <f>AVERAGE(AC50,AC53,AC56,AC59,AC61,AC64,AC67,AC70,AC73)</f>
        <v>0</v>
      </c>
      <c r="AD74" s="45">
        <f>AVERAGE(AD50,AD53,AD56,AD59,AD61,AD64,AD67,AD70,AD73)</f>
        <v>0</v>
      </c>
      <c r="AE74" s="45">
        <f>AVERAGE(AE50,AE53,AE56,AE59,AE61,AE64,AE67,AE70,AE73)</f>
        <v>0</v>
      </c>
      <c r="AF74" s="46">
        <f>AVERAGE(AF50,AF53,AF56,AF59,AF61,AF64,AF67,AF70,AF73)</f>
        <v>0</v>
      </c>
      <c r="AG74" s="45">
        <f>AVERAGE(AG50,AG53,AG56,AG59,AG61,AG64,AG67,AG70,AG73)</f>
        <v>0</v>
      </c>
      <c r="AH74" s="45">
        <f>AVERAGE(AH50,AH53,AH56,AH59,AH61,AH64,AH67,AH70,AH73)</f>
        <v>0</v>
      </c>
      <c r="AI74" s="46">
        <f>AVERAGE(AI50,AI53,AI56,AI59,AI61,AI64,AI67,AI70,AI73)</f>
        <v>0</v>
      </c>
      <c r="AJ74" s="45">
        <f>AVERAGE(AJ50,AJ53,AJ56,AJ59,AJ61,AJ64,AJ67,AJ70,AJ73)</f>
        <v>0</v>
      </c>
      <c r="AK74" s="45">
        <f>AVERAGE(AK50,AK53,AK56,AK59,AK61,AK64,AK67,AK70,AK73)</f>
        <v>0</v>
      </c>
      <c r="AL74" s="46">
        <f>AVERAGE(AL50,AL53,AL56,AL59,AL61,AL64,AL67,AL70,AL73)</f>
        <v>0</v>
      </c>
      <c r="AM74" s="45">
        <f>AVERAGE(AM50,AM53,AM56,AM59,AM61,AM64,AM67,AM70,AM73)</f>
        <v>0</v>
      </c>
      <c r="AN74" s="45">
        <f>AVERAGE(AN50,AN53,AN56,AN59,AN61,AN64,AN67,AN70,AN73)</f>
        <v>0</v>
      </c>
      <c r="AO74" s="46">
        <f>AVERAGE(AO50,AO53,AO56,AO59,AO61,AO64,AO67,AO70,AO73)</f>
        <v>0</v>
      </c>
      <c r="AP74" s="45">
        <f>AVERAGE(AP50,AP53,AP56,AP59,AP61,AP64,AP67,AP70,AP73)</f>
        <v>0</v>
      </c>
      <c r="AQ74" s="45">
        <f>AVERAGE(AQ50,AQ53,AQ56,AQ59,AQ61,AQ64,AQ67,AQ70,AQ73)</f>
        <v>0</v>
      </c>
      <c r="AR74" s="46">
        <f>AVERAGE(AR50,AR53,AR56,AR59,AR61,AR64,AR67,AR70,AR73)</f>
        <v>0</v>
      </c>
      <c r="AS74" s="45">
        <f>AVERAGE(AS50,AS53,AS56,AS59,AS61,AS64,AS67,AS70,AS73)</f>
        <v>0</v>
      </c>
      <c r="AT74" s="45">
        <f>AVERAGE(AT50,AT53,AT56,AT59,AT61,AT64,AT67,AT70,AT73)</f>
        <v>0</v>
      </c>
      <c r="AU74" s="46">
        <f>AVERAGE(AU50,AU53,AU56,AU59,AU61,AU64,AU67,AU70,AU73)</f>
        <v>0</v>
      </c>
      <c r="AV74" s="45">
        <f>AVERAGE(AV50,AV53,AV56,AV59,AV61,AV64,AV67,AV70,AV73)</f>
        <v>0</v>
      </c>
      <c r="AW74" s="45">
        <f>AVERAGE(AW50,AW53,AW56,AW59,AW61,AW64,AW67,AW70,AW73)</f>
        <v>0</v>
      </c>
      <c r="AX74" s="46">
        <f>AVERAGE(AX50,AX53,AX56,AX59,AX61,AX64,AX67,AX70,AX73)</f>
        <v>0</v>
      </c>
      <c r="AY74" s="45">
        <f>AVERAGE(AY50,AY53,AY56,AY59,AY61,AY64,AY67,AY70,AY73)</f>
        <v>0</v>
      </c>
      <c r="AZ74" s="45">
        <f>AVERAGE(AZ50,AZ53,AZ56,AZ59,AZ61,AZ64,AZ67,AZ70,AZ73)</f>
        <v>0</v>
      </c>
      <c r="BA74" s="46">
        <f>AVERAGE(BA50,BA53,BA56,BA59,BA61,BA64,BA67,BA70,BA73)</f>
        <v>0</v>
      </c>
      <c r="BB74" s="45">
        <f>AVERAGE(BB50,BB53,BB56,BB59,BB61,BB64,BB67,BB70,BB73)</f>
        <v>0</v>
      </c>
      <c r="BC74" s="45">
        <f>AVERAGE(BC50,BC53,BC56,BC59,BC61,BC64,BC67,BC70,BC73)</f>
        <v>0</v>
      </c>
      <c r="BD74" s="46">
        <f>AVERAGE(BD50,BD53,BD56,BD59,BD61,BD64,BD67,BD70,BD73)</f>
        <v>0</v>
      </c>
      <c r="BE74" s="45">
        <f>AVERAGE(BE50,BE53,BE56,BE59,BE61,BE64,BE67,BE70,BE73)</f>
        <v>0</v>
      </c>
      <c r="BF74" s="45">
        <f>AVERAGE(BF50,BF53,BF56,BF59,BF61,BF64,BF67,BF70,BF73)</f>
        <v>0</v>
      </c>
      <c r="BG74" s="46">
        <f>AVERAGE(BG50,BG53,BG56,BG59,BG61,BG64,BG67,BG70,BG73)</f>
        <v>0</v>
      </c>
      <c r="BH74" s="45">
        <f>AVERAGE(BH50,BH53,BH56,BH59,BH61,BH64,BH67,BH70,BH73)</f>
        <v>0</v>
      </c>
      <c r="BI74" s="45">
        <f>AVERAGE(BI50,BI53,BI56,BI59,BI61,BI64,BI67,BI70,BI73)</f>
        <v>0</v>
      </c>
      <c r="BJ74" s="46">
        <f>AVERAGE(BJ50,BJ53,BJ56,BJ59,BJ61,BJ64,BJ67,BJ70,BJ73)</f>
        <v>0</v>
      </c>
      <c r="BK74" s="45">
        <f>AVERAGE(BK50,BK53,BK56,BK59,BK61,BK64,BK67,BK70,BK73)</f>
        <v>0</v>
      </c>
      <c r="BL74" s="45">
        <f>AVERAGE(BL50,BL53,BL56,BL59,BL61,BL64,BL67,BL70,BL73)</f>
        <v>0</v>
      </c>
      <c r="BM74" s="46">
        <f>AVERAGE(BM50,BM53,BM56,BM59,BM61,BM64,BM67,BM70,BM73)</f>
        <v>0</v>
      </c>
      <c r="BN74" s="45">
        <f>AVERAGE(BN50,BN53,BN56,BN59,BN61,BN64,BN67,BN70,BN73)</f>
        <v>0</v>
      </c>
      <c r="BO74" s="45">
        <f>AVERAGE(BO50,BO53,BO56,BO59,BO61,BO64,BO67,BO70,BO73)</f>
        <v>0</v>
      </c>
      <c r="BP74" s="46">
        <f>AVERAGE(BP50,BP53,BP56,BP59,BP61,BP64,BP67,BP70,BP73)</f>
        <v>0</v>
      </c>
      <c r="BQ74" s="45">
        <f>AVERAGE(BQ50,BQ53,BQ56,BQ59,BQ61,BQ64,BQ67,BQ70,BQ73)</f>
        <v>0</v>
      </c>
      <c r="BR74" s="45">
        <f>AVERAGE(BR50,BR53,BR56,BR59,BR61,BR64,BR67,BR70,BR73)</f>
        <v>0</v>
      </c>
      <c r="BS74" s="46">
        <f>AVERAGE(BS50,BS53,BS56,BS59,BS61,BS64,BS67,BS70,BS73)</f>
        <v>0</v>
      </c>
      <c r="BT74" s="45">
        <f>AVERAGE(BT50,BT53,BT56,BT59,BT61,BT64,BT67,BT70,BT73)</f>
        <v>0</v>
      </c>
      <c r="BU74" s="45">
        <f>AVERAGE(BU50,BU53,BU56,BU59,BU61,BU64,BU67,BU70,BU73)</f>
        <v>0</v>
      </c>
      <c r="BV74" s="46">
        <f>AVERAGE(BV50,BV53,BV56,BV59,BV61,BV64,BV67,BV70,BV73)</f>
        <v>0</v>
      </c>
      <c r="BW74" s="45">
        <f>AVERAGE(BW50,BW53,BW56,BW59,BW61,BW64,BW67,BW70,BW73)</f>
        <v>0</v>
      </c>
      <c r="BX74" s="45">
        <f>AVERAGE(BX50,BX53,BX56,BX59,BX61,BX64,BX67,BX70,BX73)</f>
        <v>0</v>
      </c>
      <c r="BY74" s="46">
        <f>AVERAGE(BY50,BY53,BY56,BY59,BY61,BY64,BY67,BY70,BY73)</f>
        <v>0</v>
      </c>
      <c r="BZ74" s="45">
        <f>AVERAGE(BZ50,BZ53,BZ56,BZ59,BZ61,BZ64,BZ67,BZ70,BZ73)</f>
        <v>0</v>
      </c>
      <c r="CA74" s="45">
        <f>AVERAGE(CA50,CA53,CA56,CA59,CA61,CA64,CA67,CA70,CA73)</f>
        <v>0</v>
      </c>
      <c r="CB74" s="46">
        <f>AVERAGE(CB50,CB53,CB56,CB59,CB61,CB64,CB67,CB70,CB73)</f>
        <v>0</v>
      </c>
      <c r="CC74" s="45">
        <f>AVERAGE(CC50,CC53,CC56,CC59,CC61,CC64,CC67,CC70,CC73)</f>
        <v>0</v>
      </c>
      <c r="CD74" s="45">
        <f>AVERAGE(CD50,CD53,CD56,CD59,CD61,CD64,CD67,CD70,CD73)</f>
        <v>0</v>
      </c>
      <c r="CE74" s="46">
        <f>AVERAGE(CE50,CE53,CE56,CE59,CE61,CE64,CE67,CE70,CE73)</f>
        <v>0</v>
      </c>
      <c r="CF74" s="62">
        <f>AVERAGE(CF50,CF53,CF56,CF59,CF61,CF64,CF67,CF70,CF73)</f>
        <v>0</v>
      </c>
      <c r="CG74" s="62">
        <f>AVERAGE(CG50,CG53,CG56,CG59,CG61,CG64,CG67,CG70,CG73)</f>
        <v>0</v>
      </c>
      <c r="CH74" s="54">
        <f>AVERAGE(CH50,CH53,CH56,CH59,CH61,CH64,CH67,CH70,CH73)</f>
        <v>0</v>
      </c>
      <c r="CI74" s="53">
        <f>AVERAGE(E74,H74,K74,N74,Q74,T74,W74,Z74,AC74,AF74,AI74,AL74,AO74,AR74,AU74,AX74,BA74,BD74,BG74,BJ74,BM74,BP74,BS74,BV74,BY74,CB74,CE74)</f>
        <v>0</v>
      </c>
    </row>
    <row r="75" spans="1:93" ht="12.6" customHeight="1" x14ac:dyDescent="0.25">
      <c r="B75" s="49" t="s">
        <v>71</v>
      </c>
      <c r="C75" s="27">
        <f>AVERAGE(C47,C74)</f>
        <v>0</v>
      </c>
      <c r="D75" s="27">
        <f>AVERAGE(D47,D74)</f>
        <v>0</v>
      </c>
      <c r="E75" s="21">
        <f>AVERAGE(E47,E74)</f>
        <v>0</v>
      </c>
      <c r="F75" s="27">
        <f>AVERAGE(F47,F74)</f>
        <v>0</v>
      </c>
      <c r="G75" s="27">
        <f>AVERAGE(G47,G74)</f>
        <v>0</v>
      </c>
      <c r="H75" s="21">
        <f>AVERAGE(H47,H74)</f>
        <v>0</v>
      </c>
      <c r="I75" s="27">
        <f>AVERAGE(I47,I74)</f>
        <v>0</v>
      </c>
      <c r="J75" s="27">
        <f>AVERAGE(J47,J74)</f>
        <v>0</v>
      </c>
      <c r="K75" s="21">
        <f>AVERAGE(K47,K74)</f>
        <v>0</v>
      </c>
      <c r="L75" s="27">
        <f>AVERAGE(L47,L74)</f>
        <v>0</v>
      </c>
      <c r="M75" s="27">
        <f>AVERAGE(M47,M74)</f>
        <v>0</v>
      </c>
      <c r="N75" s="21">
        <f>AVERAGE(N47,N74)</f>
        <v>0</v>
      </c>
      <c r="O75" s="27">
        <f>AVERAGE(O47,O74)</f>
        <v>0</v>
      </c>
      <c r="P75" s="27">
        <f>AVERAGE(P47,P74)</f>
        <v>0</v>
      </c>
      <c r="Q75" s="21">
        <f>AVERAGE(Q47,Q74)</f>
        <v>0</v>
      </c>
      <c r="R75" s="27">
        <f>AVERAGE(R47,R74)</f>
        <v>0</v>
      </c>
      <c r="S75" s="27">
        <f>AVERAGE(S47,S74)</f>
        <v>0</v>
      </c>
      <c r="T75" s="21">
        <f>AVERAGE(T47,T74)</f>
        <v>0</v>
      </c>
      <c r="U75" s="27">
        <f>AVERAGE(U47,U74)</f>
        <v>0</v>
      </c>
      <c r="V75" s="27">
        <f>AVERAGE(V47,V74)</f>
        <v>0</v>
      </c>
      <c r="W75" s="21">
        <f>AVERAGE(W47,W74)</f>
        <v>0</v>
      </c>
      <c r="X75" s="27">
        <f>AVERAGE(X47,X74)</f>
        <v>0</v>
      </c>
      <c r="Y75" s="27">
        <f>AVERAGE(Y47,Y74)</f>
        <v>0</v>
      </c>
      <c r="Z75" s="21">
        <f>AVERAGE(Z47,Z74)</f>
        <v>0</v>
      </c>
      <c r="AA75" s="27">
        <f>AVERAGE(AA47,AA74)</f>
        <v>0</v>
      </c>
      <c r="AB75" s="27">
        <f>AVERAGE(AB47,AB74)</f>
        <v>0</v>
      </c>
      <c r="AC75" s="21">
        <f>AVERAGE(AC47,AC74)</f>
        <v>0</v>
      </c>
      <c r="AD75" s="27">
        <f>AVERAGE(AD47,AD74)</f>
        <v>0</v>
      </c>
      <c r="AE75" s="27">
        <f>AVERAGE(AE47,AE74)</f>
        <v>0</v>
      </c>
      <c r="AF75" s="21">
        <f>AVERAGE(AF47,AF74)</f>
        <v>0</v>
      </c>
      <c r="AG75" s="27">
        <f>AVERAGE(AG47,AG74)</f>
        <v>0</v>
      </c>
      <c r="AH75" s="27">
        <f>AVERAGE(AH47,AH74)</f>
        <v>0</v>
      </c>
      <c r="AI75" s="21">
        <f>AVERAGE(AI47,AI74)</f>
        <v>0</v>
      </c>
      <c r="AJ75" s="27">
        <f>AVERAGE(AJ47,AJ74)</f>
        <v>0</v>
      </c>
      <c r="AK75" s="27">
        <f>AVERAGE(AK47,AK74)</f>
        <v>0</v>
      </c>
      <c r="AL75" s="21">
        <f>AVERAGE(AL47,AL74)</f>
        <v>0</v>
      </c>
      <c r="AM75" s="27">
        <f>AVERAGE(AM47,AM74)</f>
        <v>0</v>
      </c>
      <c r="AN75" s="27">
        <f>AVERAGE(AN47,AN74)</f>
        <v>0</v>
      </c>
      <c r="AO75" s="21">
        <f>AVERAGE(AO47,AO74)</f>
        <v>0</v>
      </c>
      <c r="AP75" s="27">
        <f>AVERAGE(AP47,AP74)</f>
        <v>0</v>
      </c>
      <c r="AQ75" s="27">
        <f>AVERAGE(AQ47,AQ74)</f>
        <v>0</v>
      </c>
      <c r="AR75" s="21">
        <f>AVERAGE(AR47,AR74)</f>
        <v>0</v>
      </c>
      <c r="AS75" s="27">
        <f>AVERAGE(AS47,AS74)</f>
        <v>0</v>
      </c>
      <c r="AT75" s="27">
        <f>AVERAGE(AT47,AT74)</f>
        <v>0</v>
      </c>
      <c r="AU75" s="21">
        <f>AVERAGE(AU47,AU74)</f>
        <v>0</v>
      </c>
      <c r="AV75" s="27">
        <f>AVERAGE(AV47,AV74)</f>
        <v>0</v>
      </c>
      <c r="AW75" s="27">
        <f>AVERAGE(AW47,AW74)</f>
        <v>0</v>
      </c>
      <c r="AX75" s="21">
        <f>AVERAGE(AX47,AX74)</f>
        <v>0</v>
      </c>
      <c r="AY75" s="27">
        <f>AVERAGE(AY47,AY74)</f>
        <v>0</v>
      </c>
      <c r="AZ75" s="27">
        <f>AVERAGE(AZ47,AZ74)</f>
        <v>0</v>
      </c>
      <c r="BA75" s="21">
        <f>AVERAGE(BA47,BA74)</f>
        <v>0</v>
      </c>
      <c r="BB75" s="27">
        <f>AVERAGE(BB47,BB74)</f>
        <v>0</v>
      </c>
      <c r="BC75" s="27">
        <f>AVERAGE(BC47,BC74)</f>
        <v>0</v>
      </c>
      <c r="BD75" s="21">
        <f>AVERAGE(BD47,BD74)</f>
        <v>0</v>
      </c>
      <c r="BE75" s="27">
        <f>AVERAGE(BE47,BE74)</f>
        <v>0</v>
      </c>
      <c r="BF75" s="27">
        <f>AVERAGE(BF47,BF74)</f>
        <v>0</v>
      </c>
      <c r="BG75" s="21">
        <f>AVERAGE(BG47,BG74)</f>
        <v>0</v>
      </c>
      <c r="BH75" s="27">
        <f>AVERAGE(BH47,BH74)</f>
        <v>0</v>
      </c>
      <c r="BI75" s="27">
        <f>AVERAGE(BI47,BI74)</f>
        <v>0</v>
      </c>
      <c r="BJ75" s="21">
        <f>AVERAGE(BJ47,BJ74)</f>
        <v>0</v>
      </c>
      <c r="BK75" s="27">
        <f>AVERAGE(BK47,BK74)</f>
        <v>0</v>
      </c>
      <c r="BL75" s="27">
        <f>AVERAGE(BL47,BL74)</f>
        <v>0</v>
      </c>
      <c r="BM75" s="21">
        <f>AVERAGE(BM47,BM74)</f>
        <v>0</v>
      </c>
      <c r="BN75" s="27">
        <f>AVERAGE(BN47,BN74)</f>
        <v>0</v>
      </c>
      <c r="BO75" s="27">
        <f>AVERAGE(BO47,BO74)</f>
        <v>0</v>
      </c>
      <c r="BP75" s="21">
        <f>AVERAGE(BP47,BP74)</f>
        <v>0</v>
      </c>
      <c r="BQ75" s="27">
        <f>AVERAGE(BQ47,BQ74)</f>
        <v>0</v>
      </c>
      <c r="BR75" s="27">
        <f>AVERAGE(BR47,BR74)</f>
        <v>0</v>
      </c>
      <c r="BS75" s="21">
        <f>AVERAGE(BS47,BS74)</f>
        <v>0</v>
      </c>
      <c r="BT75" s="27">
        <f>AVERAGE(BT47,BT74)</f>
        <v>0</v>
      </c>
      <c r="BU75" s="27">
        <f>AVERAGE(BU47,BU74)</f>
        <v>0</v>
      </c>
      <c r="BV75" s="21">
        <f>AVERAGE(BV47,BV74)</f>
        <v>0</v>
      </c>
      <c r="BW75" s="27">
        <f>AVERAGE(BW47,BW74)</f>
        <v>0</v>
      </c>
      <c r="BX75" s="27">
        <f>AVERAGE(BX47,BX74)</f>
        <v>0</v>
      </c>
      <c r="BY75" s="21">
        <f>AVERAGE(BY47,BY74)</f>
        <v>0</v>
      </c>
      <c r="BZ75" s="27">
        <f>AVERAGE(BZ47,BZ74)</f>
        <v>0</v>
      </c>
      <c r="CA75" s="27">
        <f>AVERAGE(CA47,CA74)</f>
        <v>0</v>
      </c>
      <c r="CB75" s="21">
        <f>AVERAGE(CB47,CB74)</f>
        <v>0</v>
      </c>
      <c r="CC75" s="27">
        <f>AVERAGE(CC47,CC74)</f>
        <v>0</v>
      </c>
      <c r="CD75" s="27">
        <f>AVERAGE(CD47,CD74)</f>
        <v>0</v>
      </c>
      <c r="CE75" s="21">
        <f>AVERAGE(CE47,CE74)</f>
        <v>0</v>
      </c>
      <c r="CF75" s="27">
        <f>AVERAGE(CF15,CF27,CF37,CF46,CF59,CF64,CF50,CF53,CF56,CF61,CF67,CF70,CF73)</f>
        <v>0</v>
      </c>
      <c r="CG75" s="27">
        <f>AVERAGE(CG15,CG27,CG37,CG46,CG59,CG64,CG50,CG53,CG56,CG61,CG67,CG70,CG73)</f>
        <v>0</v>
      </c>
      <c r="CH75" s="28">
        <f>AVERAGE(CH15,CH27,CH37,CH4,CH59,CH64,CH50,CH53,CH56,CH61,CH67,CH70,CH73)</f>
        <v>0</v>
      </c>
      <c r="CI75" s="28">
        <f>AVERAGE($E75,$H75,$K75,$N75,$Q75,$T75,$W75,$Z75,$AC75,$AF75,$AI75,$AL75,$AO75,$AR75,$AU75,$AX75,$BA75,$BD75,$BG75,$BJ75,$BM75,$BP$75,$BS$75,$BV$75,$BY$75,$CB75,$CE75)</f>
        <v>0</v>
      </c>
      <c r="CJ75" s="99"/>
      <c r="CK75" s="99"/>
    </row>
    <row r="76" spans="1:93" s="13" customFormat="1" ht="12.6" customHeight="1" x14ac:dyDescent="0.25">
      <c r="B76" s="52" t="s">
        <v>72</v>
      </c>
      <c r="C76" s="29"/>
      <c r="D76" s="29"/>
      <c r="E76" s="29">
        <f>IF(E75&gt;=1.82,5,IF(E75&gt;=1.52,4,IF(E75&gt;=1.02,3,2)))</f>
        <v>2</v>
      </c>
      <c r="F76" s="29"/>
      <c r="G76" s="29"/>
      <c r="H76" s="29">
        <f t="shared" ref="H76:CE76" si="239">IF(H75&gt;=1.82,5,IF(H75&gt;=1.52,4,IF(H75&gt;=1.02,3,2)))</f>
        <v>2</v>
      </c>
      <c r="I76" s="29"/>
      <c r="J76" s="29"/>
      <c r="K76" s="29">
        <f t="shared" si="239"/>
        <v>2</v>
      </c>
      <c r="L76" s="29"/>
      <c r="M76" s="29"/>
      <c r="N76" s="29">
        <f t="shared" si="239"/>
        <v>2</v>
      </c>
      <c r="O76" s="29"/>
      <c r="P76" s="29"/>
      <c r="Q76" s="29">
        <f t="shared" si="239"/>
        <v>2</v>
      </c>
      <c r="R76" s="29"/>
      <c r="S76" s="29"/>
      <c r="T76" s="29">
        <f t="shared" si="239"/>
        <v>2</v>
      </c>
      <c r="U76" s="29"/>
      <c r="V76" s="29"/>
      <c r="W76" s="29">
        <f t="shared" si="239"/>
        <v>2</v>
      </c>
      <c r="X76" s="29"/>
      <c r="Y76" s="29"/>
      <c r="Z76" s="29">
        <f t="shared" si="239"/>
        <v>2</v>
      </c>
      <c r="AA76" s="29"/>
      <c r="AB76" s="29"/>
      <c r="AC76" s="29">
        <f t="shared" si="239"/>
        <v>2</v>
      </c>
      <c r="AD76" s="29"/>
      <c r="AE76" s="29"/>
      <c r="AF76" s="29">
        <f t="shared" si="239"/>
        <v>2</v>
      </c>
      <c r="AG76" s="29"/>
      <c r="AH76" s="29"/>
      <c r="AI76" s="29">
        <f t="shared" si="239"/>
        <v>2</v>
      </c>
      <c r="AJ76" s="29"/>
      <c r="AK76" s="29"/>
      <c r="AL76" s="29">
        <f t="shared" si="239"/>
        <v>2</v>
      </c>
      <c r="AM76" s="29"/>
      <c r="AN76" s="29"/>
      <c r="AO76" s="29">
        <f t="shared" si="239"/>
        <v>2</v>
      </c>
      <c r="AP76" s="29"/>
      <c r="AQ76" s="29"/>
      <c r="AR76" s="29">
        <f t="shared" si="239"/>
        <v>2</v>
      </c>
      <c r="AS76" s="29"/>
      <c r="AT76" s="29"/>
      <c r="AU76" s="29">
        <f t="shared" si="239"/>
        <v>2</v>
      </c>
      <c r="AV76" s="29"/>
      <c r="AW76" s="29"/>
      <c r="AX76" s="29">
        <f t="shared" si="239"/>
        <v>2</v>
      </c>
      <c r="AY76" s="29"/>
      <c r="AZ76" s="29"/>
      <c r="BA76" s="29">
        <f t="shared" si="239"/>
        <v>2</v>
      </c>
      <c r="BB76" s="29"/>
      <c r="BC76" s="29"/>
      <c r="BD76" s="29">
        <f t="shared" si="239"/>
        <v>2</v>
      </c>
      <c r="BE76" s="29"/>
      <c r="BF76" s="29"/>
      <c r="BG76" s="29">
        <f t="shared" si="239"/>
        <v>2</v>
      </c>
      <c r="BH76" s="29"/>
      <c r="BI76" s="29"/>
      <c r="BJ76" s="29">
        <f t="shared" si="239"/>
        <v>2</v>
      </c>
      <c r="BK76" s="29"/>
      <c r="BL76" s="29"/>
      <c r="BM76" s="29">
        <f t="shared" si="239"/>
        <v>2</v>
      </c>
      <c r="BN76" s="29"/>
      <c r="BO76" s="29"/>
      <c r="BP76" s="29">
        <f t="shared" ref="BP76" si="240">IF(BP75&gt;=1.82,5,IF(BP75&gt;=1.52,4,IF(BP75&gt;=1.02,3,2)))</f>
        <v>2</v>
      </c>
      <c r="BQ76" s="29"/>
      <c r="BR76" s="29"/>
      <c r="BS76" s="29">
        <f t="shared" ref="BS76" si="241">IF(BS75&gt;=1.82,5,IF(BS75&gt;=1.52,4,IF(BS75&gt;=1.02,3,2)))</f>
        <v>2</v>
      </c>
      <c r="BT76" s="29"/>
      <c r="BU76" s="29"/>
      <c r="BV76" s="29">
        <f t="shared" ref="BV76" si="242">IF(BV75&gt;=1.82,5,IF(BV75&gt;=1.52,4,IF(BV75&gt;=1.02,3,2)))</f>
        <v>2</v>
      </c>
      <c r="BW76" s="29"/>
      <c r="BX76" s="29"/>
      <c r="BY76" s="29">
        <f t="shared" ref="BY76" si="243">IF(BY75&gt;=1.82,5,IF(BY75&gt;=1.52,4,IF(BY75&gt;=1.02,3,2)))</f>
        <v>2</v>
      </c>
      <c r="BZ76" s="29"/>
      <c r="CA76" s="29"/>
      <c r="CB76" s="29">
        <f t="shared" si="239"/>
        <v>2</v>
      </c>
      <c r="CC76" s="29"/>
      <c r="CD76" s="29"/>
      <c r="CE76" s="29">
        <f t="shared" si="239"/>
        <v>2</v>
      </c>
      <c r="CF76" s="30"/>
      <c r="CG76" s="30"/>
      <c r="CH76" s="28">
        <f>AVERAGE(CH47,CH74)</f>
        <v>0</v>
      </c>
      <c r="CJ76" s="99"/>
      <c r="CK76" s="100"/>
    </row>
    <row r="77" spans="1:93" s="13" customFormat="1" ht="10.9" customHeight="1" x14ac:dyDescent="0.25">
      <c r="B77" s="51" t="s">
        <v>75</v>
      </c>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c r="CE77" s="29"/>
      <c r="CF77" s="30"/>
      <c r="CG77" s="30"/>
      <c r="CH77" s="30"/>
      <c r="CJ77" s="101"/>
      <c r="CK77" s="101"/>
    </row>
    <row r="78" spans="1:93" s="13" customFormat="1" ht="12" customHeight="1" x14ac:dyDescent="0.25">
      <c r="B78" s="52" t="s">
        <v>73</v>
      </c>
      <c r="C78" s="29"/>
      <c r="D78" s="29"/>
      <c r="E78" s="29">
        <f>IF(E47&gt;=1.82,5,IF(E47&gt;=1.52,4,IF(E47&gt;=1.02,3,2)))</f>
        <v>2</v>
      </c>
      <c r="F78" s="29"/>
      <c r="G78" s="29"/>
      <c r="H78" s="29">
        <f>IF(H47&gt;=1.82,5,IF(H47&gt;=1.52,4,IF(H47&gt;=1.02,3,2)))</f>
        <v>2</v>
      </c>
      <c r="I78" s="29"/>
      <c r="J78" s="29"/>
      <c r="K78" s="29">
        <f>IF(K47&gt;=1.82,5,IF(K47&gt;=1.52,4,IF(K47&gt;=1.02,3,2)))</f>
        <v>2</v>
      </c>
      <c r="L78" s="29"/>
      <c r="M78" s="29"/>
      <c r="N78" s="29">
        <f>IF(N47&gt;=1.82,5,IF(N47&gt;=1.52,4,IF(N47&gt;=1.02,3,2)))</f>
        <v>2</v>
      </c>
      <c r="O78" s="29"/>
      <c r="P78" s="29"/>
      <c r="Q78" s="29">
        <f>IF(Q47&gt;=1.82,5,IF(Q47&gt;=1.52,4,IF(Q47&gt;=1.02,3,2)))</f>
        <v>2</v>
      </c>
      <c r="R78" s="29"/>
      <c r="S78" s="29"/>
      <c r="T78" s="29">
        <f>IF(T47&gt;=1.82,5,IF(T47&gt;=1.52,4,IF(T47&gt;=1.02,3,2)))</f>
        <v>2</v>
      </c>
      <c r="U78" s="29"/>
      <c r="V78" s="29"/>
      <c r="W78" s="29">
        <f>IF(W47&gt;=1.82,5,IF(W47&gt;=1.52,4,IF(W47&gt;=1.02,3,2)))</f>
        <v>2</v>
      </c>
      <c r="X78" s="29"/>
      <c r="Y78" s="29"/>
      <c r="Z78" s="29">
        <f>IF(Z47&gt;=1.82,5,IF(Z47&gt;=1.52,4,IF(Z47&gt;=1.02,3,2)))</f>
        <v>2</v>
      </c>
      <c r="AA78" s="29"/>
      <c r="AB78" s="29"/>
      <c r="AC78" s="29">
        <f>IF(AC47&gt;=1.82,5,IF(AC47&gt;=1.52,4,IF(AC47&gt;=1.02,3,2)))</f>
        <v>2</v>
      </c>
      <c r="AD78" s="29"/>
      <c r="AE78" s="29"/>
      <c r="AF78" s="29">
        <f>IF(AF47&gt;=1.82,5,IF(AF47&gt;=1.52,4,IF(AF47&gt;=1.02,3,2)))</f>
        <v>2</v>
      </c>
      <c r="AG78" s="29"/>
      <c r="AH78" s="29"/>
      <c r="AI78" s="29">
        <f>IF(AI47&gt;=1.82,5,IF(AI47&gt;=1.52,4,IF(AI47&gt;=1.02,3,2)))</f>
        <v>2</v>
      </c>
      <c r="AJ78" s="29"/>
      <c r="AK78" s="29"/>
      <c r="AL78" s="29">
        <f>IF(AL47&gt;=1.82,5,IF(AL47&gt;=1.52,4,IF(AL47&gt;=1.02,3,2)))</f>
        <v>2</v>
      </c>
      <c r="AM78" s="29"/>
      <c r="AN78" s="29"/>
      <c r="AO78" s="29">
        <f>IF(AO47&gt;=1.82,5,IF(AO47&gt;=1.52,4,IF(AO47&gt;=1.02,3,2)))</f>
        <v>2</v>
      </c>
      <c r="AP78" s="29"/>
      <c r="AQ78" s="29"/>
      <c r="AR78" s="29">
        <f>IF(AR47&gt;=1.82,5,IF(AR47&gt;=1.52,4,IF(AR47&gt;=1.02,3,2)))</f>
        <v>2</v>
      </c>
      <c r="AS78" s="29"/>
      <c r="AT78" s="29"/>
      <c r="AU78" s="29">
        <f>IF(AU47&gt;=1.82,5,IF(AU47&gt;=1.52,4,IF(AU47&gt;=1.02,3,2)))</f>
        <v>2</v>
      </c>
      <c r="AV78" s="29"/>
      <c r="AW78" s="29"/>
      <c r="AX78" s="29">
        <f>IF(AX47&gt;=1.82,5,IF(AX47&gt;=1.52,4,IF(AX47&gt;=1.02,3,2)))</f>
        <v>2</v>
      </c>
      <c r="AY78" s="29"/>
      <c r="AZ78" s="29"/>
      <c r="BA78" s="29">
        <f>IF(BA47&gt;=1.82,5,IF(BA47&gt;=1.52,4,IF(BA47&gt;=1.02,3,2)))</f>
        <v>2</v>
      </c>
      <c r="BB78" s="29"/>
      <c r="BC78" s="29"/>
      <c r="BD78" s="29">
        <f>IF(BD47&gt;=1.82,5,IF(BD47&gt;=1.52,4,IF(BD47&gt;=1.02,3,2)))</f>
        <v>2</v>
      </c>
      <c r="BE78" s="29"/>
      <c r="BF78" s="29"/>
      <c r="BG78" s="29">
        <f>IF(BG47&gt;=1.82,5,IF(BG47&gt;=1.52,4,IF(BG47&gt;=1.02,3,2)))</f>
        <v>2</v>
      </c>
      <c r="BH78" s="29"/>
      <c r="BI78" s="29"/>
      <c r="BJ78" s="29">
        <f>IF(BJ47&gt;=1.82,5,IF(BJ47&gt;=1.52,4,IF(BJ47&gt;=1.02,3,2)))</f>
        <v>2</v>
      </c>
      <c r="BK78" s="29"/>
      <c r="BL78" s="29"/>
      <c r="BM78" s="29">
        <f>IF(BM47&gt;=1.82,5,IF(BM47&gt;=1.52,4,IF(BM47&gt;=1.02,3,2)))</f>
        <v>2</v>
      </c>
      <c r="BN78" s="29"/>
      <c r="BO78" s="29"/>
      <c r="BP78" s="29">
        <f>IF(BP47&gt;=1.82,5,IF(BP47&gt;=1.52,4,IF(BP47&gt;=1.02,3,2)))</f>
        <v>2</v>
      </c>
      <c r="BQ78" s="29"/>
      <c r="BR78" s="29"/>
      <c r="BS78" s="29">
        <f>IF(BS47&gt;=1.82,5,IF(BS47&gt;=1.52,4,IF(BS47&gt;=1.02,3,2)))</f>
        <v>2</v>
      </c>
      <c r="BT78" s="29"/>
      <c r="BU78" s="29"/>
      <c r="BV78" s="29">
        <f>IF(BV47&gt;=1.82,5,IF(BV47&gt;=1.52,4,IF(BV47&gt;=1.02,3,2)))</f>
        <v>2</v>
      </c>
      <c r="BW78" s="29"/>
      <c r="BX78" s="29"/>
      <c r="BY78" s="29">
        <f>IF(BY47&gt;=1.82,5,IF(BY47&gt;=1.52,4,IF(BY47&gt;=1.02,3,2)))</f>
        <v>2</v>
      </c>
      <c r="BZ78" s="29"/>
      <c r="CA78" s="29"/>
      <c r="CB78" s="29">
        <f>IF(CB47&gt;=1.82,5,IF(CB47&gt;=1.52,4,IF(CB47&gt;=1.02,3,2)))</f>
        <v>2</v>
      </c>
      <c r="CC78" s="29"/>
      <c r="CD78" s="29"/>
      <c r="CE78" s="29">
        <f>IF(CE47&gt;=1.82,5,IF(CE47&gt;=1.52,4,IF(CE47&gt;=1.02,3,2)))</f>
        <v>2</v>
      </c>
      <c r="CF78" s="30"/>
      <c r="CG78" s="30"/>
      <c r="CH78" s="30"/>
    </row>
    <row r="79" spans="1:93" x14ac:dyDescent="0.25">
      <c r="B79" s="50" t="s">
        <v>74</v>
      </c>
    </row>
    <row r="80" spans="1:93" ht="23.25" x14ac:dyDescent="0.25">
      <c r="CN80" s="1" t="s">
        <v>10</v>
      </c>
      <c r="CO80" s="6" t="s">
        <v>11</v>
      </c>
    </row>
    <row r="81" spans="5:96" x14ac:dyDescent="0.25">
      <c r="E81" s="40"/>
      <c r="CM81" t="s">
        <v>76</v>
      </c>
      <c r="CN81" s="7">
        <v>1.6234567901234569</v>
      </c>
      <c r="CO81" s="7">
        <v>1.6296296296296295</v>
      </c>
      <c r="CP81" s="7"/>
      <c r="CQ81" s="7"/>
      <c r="CR81" s="7"/>
    </row>
    <row r="82" spans="5:96" x14ac:dyDescent="0.25">
      <c r="CM82" t="s">
        <v>77</v>
      </c>
      <c r="CN82" s="7">
        <v>1.7037037037037037</v>
      </c>
      <c r="CO82" s="7">
        <v>1.6814814814814814</v>
      </c>
      <c r="CP82" s="7"/>
      <c r="CQ82" s="7"/>
      <c r="CR82" s="7"/>
    </row>
    <row r="83" spans="5:96" x14ac:dyDescent="0.25">
      <c r="CM83" t="s">
        <v>78</v>
      </c>
      <c r="CN83" s="7">
        <v>1.6759259259259258</v>
      </c>
      <c r="CO83" s="7">
        <v>1.6759259259259258</v>
      </c>
      <c r="CP83" s="7"/>
      <c r="CQ83" s="7"/>
      <c r="CR83" s="7"/>
    </row>
    <row r="84" spans="5:96" x14ac:dyDescent="0.25">
      <c r="CM84" t="s">
        <v>79</v>
      </c>
      <c r="CN84" s="7">
        <v>1.6851851851851851</v>
      </c>
      <c r="CO84" s="7">
        <v>1.6759259259259258</v>
      </c>
      <c r="CP84" s="7"/>
      <c r="CQ84" s="7"/>
      <c r="CR84" s="7"/>
    </row>
    <row r="85" spans="5:96" x14ac:dyDescent="0.25">
      <c r="CM85" t="s">
        <v>80</v>
      </c>
      <c r="CN85" s="7">
        <v>1.6851851851851851</v>
      </c>
      <c r="CO85" s="7">
        <v>1.6574074074074074</v>
      </c>
      <c r="CP85" s="7"/>
      <c r="CQ85" s="7"/>
      <c r="CR85" s="7"/>
    </row>
    <row r="86" spans="5:96" x14ac:dyDescent="0.25">
      <c r="CN86" s="7"/>
      <c r="CO86" s="7"/>
      <c r="CP86" s="7"/>
      <c r="CQ86" s="7"/>
      <c r="CR86" s="7"/>
    </row>
    <row r="87" spans="5:96" x14ac:dyDescent="0.25">
      <c r="CN87" s="7"/>
      <c r="CO87" s="7"/>
      <c r="CP87" s="7"/>
      <c r="CQ87" s="7"/>
      <c r="CR87" s="7"/>
    </row>
    <row r="88" spans="5:96" x14ac:dyDescent="0.25">
      <c r="CN88" s="7"/>
      <c r="CO88" s="7"/>
      <c r="CP88" s="7"/>
      <c r="CQ88" s="7"/>
      <c r="CR88" s="7"/>
    </row>
    <row r="89" spans="5:96" x14ac:dyDescent="0.25">
      <c r="CN89" s="7"/>
      <c r="CO89" s="7"/>
      <c r="CP89" s="7"/>
      <c r="CQ89" s="7"/>
      <c r="CR89" s="7"/>
    </row>
    <row r="90" spans="5:96" x14ac:dyDescent="0.25">
      <c r="CN90" s="7"/>
      <c r="CO90" s="7"/>
      <c r="CP90" s="7"/>
      <c r="CQ90" s="7"/>
      <c r="CR90" s="7"/>
    </row>
    <row r="91" spans="5:96" x14ac:dyDescent="0.25">
      <c r="CN91" s="7"/>
      <c r="CO91" s="7"/>
      <c r="CP91" s="7"/>
      <c r="CQ91" s="7"/>
      <c r="CR91" s="7"/>
    </row>
    <row r="92" spans="5:96" x14ac:dyDescent="0.25">
      <c r="CN92" s="5"/>
      <c r="CO92" s="5"/>
    </row>
    <row r="93" spans="5:96" x14ac:dyDescent="0.25">
      <c r="CN93" s="7"/>
      <c r="CO93" s="7"/>
    </row>
    <row r="94" spans="5:96" x14ac:dyDescent="0.25">
      <c r="CN94" s="7"/>
      <c r="CO94" s="7"/>
    </row>
    <row r="95" spans="5:96" x14ac:dyDescent="0.25">
      <c r="CN95" s="7"/>
      <c r="CO95" s="7"/>
    </row>
    <row r="96" spans="5:96" x14ac:dyDescent="0.25">
      <c r="CN96" s="5"/>
      <c r="CO96" s="5"/>
    </row>
    <row r="97" spans="92:93" x14ac:dyDescent="0.25">
      <c r="CN97" s="5"/>
      <c r="CO97" s="5"/>
    </row>
    <row r="98" spans="92:93" x14ac:dyDescent="0.25">
      <c r="CN98" s="5"/>
      <c r="CO98" s="5"/>
    </row>
    <row r="99" spans="92:93" x14ac:dyDescent="0.25">
      <c r="CN99" s="7"/>
      <c r="CO99" s="7"/>
    </row>
    <row r="100" spans="92:93" x14ac:dyDescent="0.25">
      <c r="CN100" s="7"/>
      <c r="CO100" s="7"/>
    </row>
  </sheetData>
  <sheetProtection password="CCE9" sheet="1" objects="1" scenarios="1" selectLockedCells="1"/>
  <mergeCells count="43">
    <mergeCell ref="A38:A46"/>
    <mergeCell ref="BQ3:BS3"/>
    <mergeCell ref="AY3:BA3"/>
    <mergeCell ref="BB3:BD3"/>
    <mergeCell ref="AA3:AC3"/>
    <mergeCell ref="AD3:AF3"/>
    <mergeCell ref="AS3:AU3"/>
    <mergeCell ref="B3:B4"/>
    <mergeCell ref="C3:E3"/>
    <mergeCell ref="F3:H3"/>
    <mergeCell ref="I3:K3"/>
    <mergeCell ref="AV3:AX3"/>
    <mergeCell ref="CF3:CH3"/>
    <mergeCell ref="A16:A27"/>
    <mergeCell ref="A28:A37"/>
    <mergeCell ref="A48:A50"/>
    <mergeCell ref="O3:Q3"/>
    <mergeCell ref="R3:T3"/>
    <mergeCell ref="U3:W3"/>
    <mergeCell ref="X3:Z3"/>
    <mergeCell ref="A5:A15"/>
    <mergeCell ref="A3:A4"/>
    <mergeCell ref="CC3:CE3"/>
    <mergeCell ref="BH3:BJ3"/>
    <mergeCell ref="BZ3:CB3"/>
    <mergeCell ref="BT3:BV3"/>
    <mergeCell ref="BW3:BY3"/>
    <mergeCell ref="A62:A64"/>
    <mergeCell ref="A68:A70"/>
    <mergeCell ref="A65:A67"/>
    <mergeCell ref="BN3:BP3"/>
    <mergeCell ref="A71:A73"/>
    <mergeCell ref="L3:N3"/>
    <mergeCell ref="AJ3:AL3"/>
    <mergeCell ref="AM3:AO3"/>
    <mergeCell ref="AP3:AR3"/>
    <mergeCell ref="BK3:BM3"/>
    <mergeCell ref="BE3:BG3"/>
    <mergeCell ref="AG3:AI3"/>
    <mergeCell ref="A60:A61"/>
    <mergeCell ref="A51:A53"/>
    <mergeCell ref="A54:A56"/>
    <mergeCell ref="A57:A59"/>
  </mergeCells>
  <conditionalFormatting sqref="E15 E56 H56 K56 N56 Q56 T56 W56 Z56 AC56 AF56 AI56 AL56 AO56 AR56 AU56 AX56 BA56 BD56 BG56 BM56 BP56 BS56 BV56 BY56 CB56 CE56 E61 H61 K61 N61 Q61 T61 W61 Z61 AC61 AF61 AI61 AL61 AO61 AR61 AU61 AX61 BA61 BD61 BG61 BM61 BP61 BS61 BV61 BY61 CB61 CE61">
    <cfRule type="expression" dxfId="905" priority="1382">
      <formula>AND(E15&lt;1.52,E15&gt;=1.02)</formula>
    </cfRule>
    <cfRule type="expression" dxfId="904" priority="1383">
      <formula>AND(E15&lt;1.82,E15&gt;=1.52)</formula>
    </cfRule>
    <cfRule type="expression" dxfId="903" priority="1384">
      <formula>E15&gt;=1.82</formula>
    </cfRule>
  </conditionalFormatting>
  <conditionalFormatting sqref="E27">
    <cfRule type="expression" dxfId="902" priority="1385">
      <formula>AND(E27&lt;1.52,E27&gt;=1.02)</formula>
    </cfRule>
    <cfRule type="expression" dxfId="901" priority="1386">
      <formula>AND(E27&lt;1.82,E27&gt;=1.52)</formula>
    </cfRule>
    <cfRule type="expression" dxfId="900" priority="1387">
      <formula>E27&gt;=1.82</formula>
    </cfRule>
  </conditionalFormatting>
  <conditionalFormatting sqref="E37">
    <cfRule type="expression" dxfId="899" priority="1388">
      <formula>AND(E37&lt;1.52,E37&gt;=1.02)</formula>
    </cfRule>
    <cfRule type="expression" dxfId="898" priority="1389">
      <formula>AND(E37&lt;1.82,E37&gt;=1.52)</formula>
    </cfRule>
    <cfRule type="expression" dxfId="897" priority="1390">
      <formula>E37&gt;=1.82</formula>
    </cfRule>
  </conditionalFormatting>
  <conditionalFormatting sqref="E46">
    <cfRule type="expression" dxfId="896" priority="79">
      <formula>AND(E46&lt;1.52,E46&gt;=1.02)</formula>
    </cfRule>
    <cfRule type="expression" dxfId="895" priority="80">
      <formula>AND(E46&lt;1.82,E46&gt;=1.52)</formula>
    </cfRule>
    <cfRule type="expression" dxfId="894" priority="81">
      <formula>E46&gt;=1.82</formula>
    </cfRule>
  </conditionalFormatting>
  <conditionalFormatting sqref="E50">
    <cfRule type="expression" dxfId="890" priority="1400">
      <formula>AND(E50&lt;1.52,E50&gt;=1.02)</formula>
    </cfRule>
    <cfRule type="expression" dxfId="889" priority="1401">
      <formula>AND(E50&lt;1.82,E50&gt;=1.52)</formula>
    </cfRule>
    <cfRule type="expression" dxfId="888" priority="1402">
      <formula>E50&gt;=1.82</formula>
    </cfRule>
  </conditionalFormatting>
  <conditionalFormatting sqref="E53">
    <cfRule type="expression" dxfId="887" priority="1403">
      <formula>AND(E53&lt;1.52,E53&gt;=1.02)</formula>
    </cfRule>
    <cfRule type="expression" dxfId="886" priority="1404">
      <formula>AND(E53&lt;1.82,E53&gt;=1.52)</formula>
    </cfRule>
    <cfRule type="expression" dxfId="885" priority="1405">
      <formula>E53&gt;=1.82</formula>
    </cfRule>
  </conditionalFormatting>
  <conditionalFormatting sqref="E59">
    <cfRule type="expression" dxfId="884" priority="458">
      <formula>AND(E59&lt;1.52,E59&gt;=1.02)</formula>
    </cfRule>
    <cfRule type="expression" dxfId="883" priority="459">
      <formula>AND(E59&lt;1.82,E59&gt;=1.52)</formula>
    </cfRule>
    <cfRule type="expression" dxfId="882" priority="460">
      <formula>E59&gt;=1.82</formula>
    </cfRule>
  </conditionalFormatting>
  <conditionalFormatting sqref="E64">
    <cfRule type="expression" dxfId="881" priority="371">
      <formula>AND(E64&lt;1.52,E64&gt;=1.02)</formula>
    </cfRule>
    <cfRule type="expression" dxfId="880" priority="372">
      <formula>AND(E64&lt;1.82,E64&gt;=1.52)</formula>
    </cfRule>
    <cfRule type="expression" dxfId="879" priority="373">
      <formula>E64&gt;=1.82</formula>
    </cfRule>
  </conditionalFormatting>
  <conditionalFormatting sqref="E67">
    <cfRule type="expression" dxfId="878" priority="1583">
      <formula>AND(E67&lt;1.52,E67&gt;=1.02)</formula>
    </cfRule>
    <cfRule type="expression" dxfId="877" priority="1584">
      <formula>AND(E67&lt;1.82,E67&gt;=1.52)</formula>
    </cfRule>
    <cfRule type="expression" dxfId="876" priority="1586">
      <formula>E67&gt;=1.82</formula>
    </cfRule>
  </conditionalFormatting>
  <conditionalFormatting sqref="E70">
    <cfRule type="expression" dxfId="875" priority="287">
      <formula>AND(E70&lt;1.52,E70&gt;=1.02)</formula>
    </cfRule>
    <cfRule type="expression" dxfId="874" priority="288">
      <formula>AND(E70&lt;1.82,E70&gt;=1.52)</formula>
    </cfRule>
    <cfRule type="expression" dxfId="873" priority="289">
      <formula>E70&gt;=1.82</formula>
    </cfRule>
  </conditionalFormatting>
  <conditionalFormatting sqref="E73:E75 H73:H75 K73:K75 N73:N75 Q73:Q75 T73:T75 W73:W75 Z73:Z75 AC73:AC75 AF73:AF75 AI73:AI75 AL73:AL75 AO73:AO75 AR73:AR75 AU73:AU75 AX73:AX75 BA73:BA75 BD73:BD75 BG73:BG75 BM73:BM75 BP73:BP75 BS73:BS75 BV73:BV75 BY73:BY75 CB73:CB75 CE73:CE75">
    <cfRule type="expression" dxfId="872" priority="203">
      <formula>AND(E73&lt;1.52,E73&gt;=1.02)</formula>
    </cfRule>
    <cfRule type="expression" dxfId="871" priority="204">
      <formula>AND(E73&lt;1.82,E73&gt;=1.52)</formula>
    </cfRule>
    <cfRule type="expression" dxfId="870" priority="205">
      <formula>E73&gt;=1.82</formula>
    </cfRule>
  </conditionalFormatting>
  <conditionalFormatting sqref="E76 E82 H76 K76 N76 Q76 T76 W76 Z76 AC76 AF76 AI76 AL76 AO76 AR76 AU76 AX76 BA76 BD76 BG76 BJ76 BM76 BP76 BS76 BV76 BY76 CB76 CE76">
    <cfRule type="colorScale" priority="1588">
      <colorScale>
        <cfvo type="num" val="3"/>
        <cfvo type="num" val="4"/>
        <cfvo type="num" val="5"/>
        <color theme="9" tint="0.39997558519241921"/>
        <color theme="8" tint="0.39997558519241921"/>
        <color rgb="FF99FF33"/>
      </colorScale>
    </cfRule>
  </conditionalFormatting>
  <conditionalFormatting sqref="H15">
    <cfRule type="expression" dxfId="869" priority="1379">
      <formula>AND(H15&lt;1.52,H15&gt;=1.02)</formula>
    </cfRule>
    <cfRule type="expression" dxfId="868" priority="1380">
      <formula>AND(H15&lt;1.82,H15&gt;=1.52)</formula>
    </cfRule>
    <cfRule type="expression" dxfId="867" priority="1381">
      <formula>H15&gt;=1.82</formula>
    </cfRule>
  </conditionalFormatting>
  <conditionalFormatting sqref="H27">
    <cfRule type="expression" dxfId="866" priority="1295">
      <formula>AND(H27&lt;1.52,H27&gt;=1.02)</formula>
    </cfRule>
    <cfRule type="expression" dxfId="865" priority="1296">
      <formula>AND(H27&lt;1.82,H27&gt;=1.52)</formula>
    </cfRule>
    <cfRule type="expression" dxfId="864" priority="1297">
      <formula>H27&gt;=1.82</formula>
    </cfRule>
  </conditionalFormatting>
  <conditionalFormatting sqref="H37">
    <cfRule type="expression" dxfId="863" priority="1211">
      <formula>AND(H37&lt;1.52,H37&gt;=1.02)</formula>
    </cfRule>
    <cfRule type="expression" dxfId="862" priority="1212">
      <formula>AND(H37&lt;1.82,H37&gt;=1.52)</formula>
    </cfRule>
    <cfRule type="expression" dxfId="861" priority="1213">
      <formula>H37&gt;=1.82</formula>
    </cfRule>
  </conditionalFormatting>
  <conditionalFormatting sqref="H46">
    <cfRule type="expression" dxfId="860" priority="76">
      <formula>AND(H46&lt;1.52,H46&gt;=1.02)</formula>
    </cfRule>
    <cfRule type="expression" dxfId="859" priority="77">
      <formula>AND(H46&lt;1.82,H46&gt;=1.52)</formula>
    </cfRule>
    <cfRule type="expression" dxfId="858" priority="78">
      <formula>H46&gt;=1.82</formula>
    </cfRule>
  </conditionalFormatting>
  <conditionalFormatting sqref="H50">
    <cfRule type="expression" dxfId="854" priority="875">
      <formula>AND(H50&lt;1.52,H50&gt;=1.02)</formula>
    </cfRule>
    <cfRule type="expression" dxfId="853" priority="876">
      <formula>AND(H50&lt;1.82,H50&gt;=1.52)</formula>
    </cfRule>
    <cfRule type="expression" dxfId="852" priority="877">
      <formula>H50&gt;=1.82</formula>
    </cfRule>
  </conditionalFormatting>
  <conditionalFormatting sqref="H53">
    <cfRule type="expression" dxfId="851" priority="791">
      <formula>AND(H53&lt;1.52,H53&gt;=1.02)</formula>
    </cfRule>
    <cfRule type="expression" dxfId="850" priority="792">
      <formula>AND(H53&lt;1.82,H53&gt;=1.52)</formula>
    </cfRule>
    <cfRule type="expression" dxfId="849" priority="793">
      <formula>H53&gt;=1.82</formula>
    </cfRule>
  </conditionalFormatting>
  <conditionalFormatting sqref="H59">
    <cfRule type="expression" dxfId="848" priority="455">
      <formula>AND(H59&lt;1.52,H59&gt;=1.02)</formula>
    </cfRule>
    <cfRule type="expression" dxfId="847" priority="456">
      <formula>AND(H59&lt;1.82,H59&gt;=1.52)</formula>
    </cfRule>
    <cfRule type="expression" dxfId="846" priority="457">
      <formula>H59&gt;=1.82</formula>
    </cfRule>
  </conditionalFormatting>
  <conditionalFormatting sqref="H64">
    <cfRule type="expression" dxfId="845" priority="368">
      <formula>AND(H64&lt;1.52,H64&gt;=1.02)</formula>
    </cfRule>
    <cfRule type="expression" dxfId="844" priority="369">
      <formula>AND(H64&lt;1.82,H64&gt;=1.52)</formula>
    </cfRule>
    <cfRule type="expression" dxfId="843" priority="370">
      <formula>H64&gt;=1.82</formula>
    </cfRule>
  </conditionalFormatting>
  <conditionalFormatting sqref="H67">
    <cfRule type="expression" dxfId="842" priority="1580">
      <formula>AND(H67&lt;1.52,H67&gt;=1.02)</formula>
    </cfRule>
    <cfRule type="expression" dxfId="841" priority="1581">
      <formula>AND(H67&lt;1.82,H67&gt;=1.52)</formula>
    </cfRule>
    <cfRule type="expression" dxfId="840" priority="1582">
      <formula>H67&gt;=1.82</formula>
    </cfRule>
  </conditionalFormatting>
  <conditionalFormatting sqref="H70">
    <cfRule type="expression" dxfId="839" priority="284">
      <formula>AND(H70&lt;1.52,H70&gt;=1.02)</formula>
    </cfRule>
    <cfRule type="expression" dxfId="838" priority="285">
      <formula>AND(H70&lt;1.82,H70&gt;=1.52)</formula>
    </cfRule>
    <cfRule type="expression" dxfId="837" priority="286">
      <formula>H70&gt;=1.82</formula>
    </cfRule>
  </conditionalFormatting>
  <conditionalFormatting sqref="E78 H78 K78 N78 Q78 T78 W78 Z78 AC78 AF78 AI78 AL78 AO78 AR78 AU78 AX78 BA78 BD78 BG78 BJ78 BM78 BP78 BS78 BV78 BY78 CB78 CE78">
    <cfRule type="colorScale" priority="121">
      <colorScale>
        <cfvo type="num" val="3"/>
        <cfvo type="num" val="4"/>
        <cfvo type="num" val="5"/>
        <color theme="9" tint="0.39997558519241921"/>
        <color theme="8" tint="0.39997558519241921"/>
        <color rgb="FF99FF33"/>
      </colorScale>
    </cfRule>
  </conditionalFormatting>
  <conditionalFormatting sqref="K15">
    <cfRule type="expression" dxfId="836" priority="1376">
      <formula>AND(K15&lt;1.52,K15&gt;=1.02)</formula>
    </cfRule>
    <cfRule type="expression" dxfId="835" priority="1377">
      <formula>AND(K15&lt;1.82,K15&gt;=1.52)</formula>
    </cfRule>
    <cfRule type="expression" dxfId="834" priority="1378">
      <formula>K15&gt;=1.82</formula>
    </cfRule>
  </conditionalFormatting>
  <conditionalFormatting sqref="K27">
    <cfRule type="expression" dxfId="833" priority="1292">
      <formula>AND(K27&lt;1.52,K27&gt;=1.02)</formula>
    </cfRule>
    <cfRule type="expression" dxfId="832" priority="1293">
      <formula>AND(K27&lt;1.82,K27&gt;=1.52)</formula>
    </cfRule>
    <cfRule type="expression" dxfId="831" priority="1294">
      <formula>K27&gt;=1.82</formula>
    </cfRule>
  </conditionalFormatting>
  <conditionalFormatting sqref="K37">
    <cfRule type="expression" dxfId="830" priority="1208">
      <formula>AND(K37&lt;1.52,K37&gt;=1.02)</formula>
    </cfRule>
    <cfRule type="expression" dxfId="829" priority="1209">
      <formula>AND(K37&lt;1.82,K37&gt;=1.52)</formula>
    </cfRule>
    <cfRule type="expression" dxfId="828" priority="1210">
      <formula>K37&gt;=1.82</formula>
    </cfRule>
  </conditionalFormatting>
  <conditionalFormatting sqref="K46">
    <cfRule type="expression" dxfId="827" priority="73">
      <formula>AND(K46&lt;1.52,K46&gt;=1.02)</formula>
    </cfRule>
    <cfRule type="expression" dxfId="826" priority="74">
      <formula>AND(K46&lt;1.82,K46&gt;=1.52)</formula>
    </cfRule>
    <cfRule type="expression" dxfId="825" priority="75">
      <formula>K46&gt;=1.82</formula>
    </cfRule>
  </conditionalFormatting>
  <conditionalFormatting sqref="K50">
    <cfRule type="expression" dxfId="821" priority="872">
      <formula>AND(K50&lt;1.52,K50&gt;=1.02)</formula>
    </cfRule>
    <cfRule type="expression" dxfId="820" priority="873">
      <formula>AND(K50&lt;1.82,K50&gt;=1.52)</formula>
    </cfRule>
    <cfRule type="expression" dxfId="819" priority="874">
      <formula>K50&gt;=1.82</formula>
    </cfRule>
  </conditionalFormatting>
  <conditionalFormatting sqref="K53">
    <cfRule type="expression" dxfId="818" priority="788">
      <formula>AND(K53&lt;1.52,K53&gt;=1.02)</formula>
    </cfRule>
    <cfRule type="expression" dxfId="817" priority="789">
      <formula>AND(K53&lt;1.82,K53&gt;=1.52)</formula>
    </cfRule>
    <cfRule type="expression" dxfId="816" priority="790">
      <formula>K53&gt;=1.82</formula>
    </cfRule>
  </conditionalFormatting>
  <conditionalFormatting sqref="K59">
    <cfRule type="expression" dxfId="815" priority="452">
      <formula>AND(K59&lt;1.52,K59&gt;=1.02)</formula>
    </cfRule>
    <cfRule type="expression" dxfId="814" priority="453">
      <formula>AND(K59&lt;1.82,K59&gt;=1.52)</formula>
    </cfRule>
    <cfRule type="expression" dxfId="813" priority="454">
      <formula>K59&gt;=1.82</formula>
    </cfRule>
  </conditionalFormatting>
  <conditionalFormatting sqref="K64">
    <cfRule type="expression" dxfId="812" priority="365">
      <formula>AND(K64&lt;1.52,K64&gt;=1.02)</formula>
    </cfRule>
    <cfRule type="expression" dxfId="811" priority="366">
      <formula>AND(K64&lt;1.82,K64&gt;=1.52)</formula>
    </cfRule>
    <cfRule type="expression" dxfId="810" priority="367">
      <formula>K64&gt;=1.82</formula>
    </cfRule>
  </conditionalFormatting>
  <conditionalFormatting sqref="K67">
    <cfRule type="expression" dxfId="809" priority="1577">
      <formula>AND(K67&lt;1.52,K67&gt;=1.02)</formula>
    </cfRule>
    <cfRule type="expression" dxfId="808" priority="1578">
      <formula>AND(K67&lt;1.82,K67&gt;=1.52)</formula>
    </cfRule>
    <cfRule type="expression" dxfId="807" priority="1579">
      <formula>K67&gt;=1.82</formula>
    </cfRule>
  </conditionalFormatting>
  <conditionalFormatting sqref="K70">
    <cfRule type="expression" dxfId="806" priority="281">
      <formula>AND(K70&lt;1.52,K70&gt;=1.02)</formula>
    </cfRule>
    <cfRule type="expression" dxfId="805" priority="282">
      <formula>AND(K70&lt;1.82,K70&gt;=1.52)</formula>
    </cfRule>
    <cfRule type="expression" dxfId="804" priority="283">
      <formula>K70&gt;=1.82</formula>
    </cfRule>
  </conditionalFormatting>
  <conditionalFormatting sqref="N15">
    <cfRule type="expression" dxfId="803" priority="1373">
      <formula>AND(N15&lt;1.52,N15&gt;=1.02)</formula>
    </cfRule>
    <cfRule type="expression" dxfId="802" priority="1374">
      <formula>AND(N15&lt;1.82,N15&gt;=1.52)</formula>
    </cfRule>
    <cfRule type="expression" dxfId="801" priority="1375">
      <formula>N15&gt;=1.82</formula>
    </cfRule>
  </conditionalFormatting>
  <conditionalFormatting sqref="N27">
    <cfRule type="expression" dxfId="800" priority="1289">
      <formula>AND(N27&lt;1.52,N27&gt;=1.02)</formula>
    </cfRule>
    <cfRule type="expression" dxfId="799" priority="1290">
      <formula>AND(N27&lt;1.82,N27&gt;=1.52)</formula>
    </cfRule>
    <cfRule type="expression" dxfId="798" priority="1291">
      <formula>N27&gt;=1.82</formula>
    </cfRule>
  </conditionalFormatting>
  <conditionalFormatting sqref="N37">
    <cfRule type="expression" dxfId="797" priority="1205">
      <formula>AND(N37&lt;1.52,N37&gt;=1.02)</formula>
    </cfRule>
    <cfRule type="expression" dxfId="796" priority="1206">
      <formula>AND(N37&lt;1.82,N37&gt;=1.52)</formula>
    </cfRule>
    <cfRule type="expression" dxfId="795" priority="1207">
      <formula>N37&gt;=1.82</formula>
    </cfRule>
  </conditionalFormatting>
  <conditionalFormatting sqref="N46">
    <cfRule type="expression" dxfId="794" priority="70">
      <formula>AND(N46&lt;1.52,N46&gt;=1.02)</formula>
    </cfRule>
    <cfRule type="expression" dxfId="793" priority="71">
      <formula>AND(N46&lt;1.82,N46&gt;=1.52)</formula>
    </cfRule>
    <cfRule type="expression" dxfId="792" priority="72">
      <formula>N46&gt;=1.82</formula>
    </cfRule>
  </conditionalFormatting>
  <conditionalFormatting sqref="N50">
    <cfRule type="expression" dxfId="788" priority="869">
      <formula>AND(N50&lt;1.52,N50&gt;=1.02)</formula>
    </cfRule>
    <cfRule type="expression" dxfId="787" priority="870">
      <formula>AND(N50&lt;1.82,N50&gt;=1.52)</formula>
    </cfRule>
    <cfRule type="expression" dxfId="786" priority="871">
      <formula>N50&gt;=1.82</formula>
    </cfRule>
  </conditionalFormatting>
  <conditionalFormatting sqref="N53">
    <cfRule type="expression" dxfId="785" priority="785">
      <formula>AND(N53&lt;1.52,N53&gt;=1.02)</formula>
    </cfRule>
    <cfRule type="expression" dxfId="784" priority="786">
      <formula>AND(N53&lt;1.82,N53&gt;=1.52)</formula>
    </cfRule>
    <cfRule type="expression" dxfId="783" priority="787">
      <formula>N53&gt;=1.82</formula>
    </cfRule>
  </conditionalFormatting>
  <conditionalFormatting sqref="N59">
    <cfRule type="expression" dxfId="782" priority="449">
      <formula>AND(N59&lt;1.52,N59&gt;=1.02)</formula>
    </cfRule>
    <cfRule type="expression" dxfId="781" priority="450">
      <formula>AND(N59&lt;1.82,N59&gt;=1.52)</formula>
    </cfRule>
    <cfRule type="expression" dxfId="780" priority="451">
      <formula>N59&gt;=1.82</formula>
    </cfRule>
  </conditionalFormatting>
  <conditionalFormatting sqref="N64">
    <cfRule type="expression" dxfId="779" priority="362">
      <formula>AND(N64&lt;1.52,N64&gt;=1.02)</formula>
    </cfRule>
    <cfRule type="expression" dxfId="778" priority="363">
      <formula>AND(N64&lt;1.82,N64&gt;=1.52)</formula>
    </cfRule>
    <cfRule type="expression" dxfId="777" priority="364">
      <formula>N64&gt;=1.82</formula>
    </cfRule>
  </conditionalFormatting>
  <conditionalFormatting sqref="N67">
    <cfRule type="expression" dxfId="776" priority="1574">
      <formula>AND(N67&lt;1.52,N67&gt;=1.02)</formula>
    </cfRule>
    <cfRule type="expression" dxfId="775" priority="1575">
      <formula>AND(N67&lt;1.82,N67&gt;=1.52)</formula>
    </cfRule>
    <cfRule type="expression" dxfId="774" priority="1576">
      <formula>N67&gt;=1.82</formula>
    </cfRule>
  </conditionalFormatting>
  <conditionalFormatting sqref="N70">
    <cfRule type="expression" dxfId="773" priority="278">
      <formula>AND(N70&lt;1.52,N70&gt;=1.02)</formula>
    </cfRule>
    <cfRule type="expression" dxfId="772" priority="279">
      <formula>AND(N70&lt;1.82,N70&gt;=1.52)</formula>
    </cfRule>
    <cfRule type="expression" dxfId="771" priority="280">
      <formula>N70&gt;=1.82</formula>
    </cfRule>
  </conditionalFormatting>
  <conditionalFormatting sqref="Q15">
    <cfRule type="expression" dxfId="770" priority="1367">
      <formula>AND(Q15&lt;1.52,Q15&gt;=1.02)</formula>
    </cfRule>
    <cfRule type="expression" dxfId="769" priority="1368">
      <formula>AND(Q15&lt;1.82,Q15&gt;=1.52)</formula>
    </cfRule>
    <cfRule type="expression" dxfId="768" priority="1369">
      <formula>Q15&gt;=1.82</formula>
    </cfRule>
  </conditionalFormatting>
  <conditionalFormatting sqref="Q27">
    <cfRule type="expression" dxfId="767" priority="1283">
      <formula>AND(Q27&lt;1.52,Q27&gt;=1.02)</formula>
    </cfRule>
    <cfRule type="expression" dxfId="766" priority="1284">
      <formula>AND(Q27&lt;1.82,Q27&gt;=1.52)</formula>
    </cfRule>
    <cfRule type="expression" dxfId="765" priority="1285">
      <formula>Q27&gt;=1.82</formula>
    </cfRule>
  </conditionalFormatting>
  <conditionalFormatting sqref="Q37">
    <cfRule type="expression" dxfId="764" priority="1199">
      <formula>AND(Q37&lt;1.52,Q37&gt;=1.02)</formula>
    </cfRule>
    <cfRule type="expression" dxfId="763" priority="1200">
      <formula>AND(Q37&lt;1.82,Q37&gt;=1.52)</formula>
    </cfRule>
    <cfRule type="expression" dxfId="762" priority="1201">
      <formula>Q37&gt;=1.82</formula>
    </cfRule>
  </conditionalFormatting>
  <conditionalFormatting sqref="Q46">
    <cfRule type="expression" dxfId="761" priority="67">
      <formula>AND(Q46&lt;1.52,Q46&gt;=1.02)</formula>
    </cfRule>
    <cfRule type="expression" dxfId="760" priority="68">
      <formula>AND(Q46&lt;1.82,Q46&gt;=1.52)</formula>
    </cfRule>
    <cfRule type="expression" dxfId="759" priority="69">
      <formula>Q46&gt;=1.82</formula>
    </cfRule>
  </conditionalFormatting>
  <conditionalFormatting sqref="Q50">
    <cfRule type="expression" dxfId="755" priority="863">
      <formula>AND(Q50&lt;1.52,Q50&gt;=1.02)</formula>
    </cfRule>
    <cfRule type="expression" dxfId="754" priority="864">
      <formula>AND(Q50&lt;1.82,Q50&gt;=1.52)</formula>
    </cfRule>
    <cfRule type="expression" dxfId="753" priority="865">
      <formula>Q50&gt;=1.82</formula>
    </cfRule>
  </conditionalFormatting>
  <conditionalFormatting sqref="Q53">
    <cfRule type="expression" dxfId="752" priority="779">
      <formula>AND(Q53&lt;1.52,Q53&gt;=1.02)</formula>
    </cfRule>
    <cfRule type="expression" dxfId="751" priority="780">
      <formula>AND(Q53&lt;1.82,Q53&gt;=1.52)</formula>
    </cfRule>
    <cfRule type="expression" dxfId="750" priority="781">
      <formula>Q53&gt;=1.82</formula>
    </cfRule>
  </conditionalFormatting>
  <conditionalFormatting sqref="Q59">
    <cfRule type="expression" dxfId="749" priority="443">
      <formula>AND(Q59&lt;1.52,Q59&gt;=1.02)</formula>
    </cfRule>
    <cfRule type="expression" dxfId="748" priority="444">
      <formula>AND(Q59&lt;1.82,Q59&gt;=1.52)</formula>
    </cfRule>
    <cfRule type="expression" dxfId="747" priority="445">
      <formula>Q59&gt;=1.82</formula>
    </cfRule>
  </conditionalFormatting>
  <conditionalFormatting sqref="Q64">
    <cfRule type="expression" dxfId="746" priority="356">
      <formula>AND(Q64&lt;1.52,Q64&gt;=1.02)</formula>
    </cfRule>
    <cfRule type="expression" dxfId="745" priority="357">
      <formula>AND(Q64&lt;1.82,Q64&gt;=1.52)</formula>
    </cfRule>
    <cfRule type="expression" dxfId="744" priority="358">
      <formula>Q64&gt;=1.82</formula>
    </cfRule>
  </conditionalFormatting>
  <conditionalFormatting sqref="Q67">
    <cfRule type="expression" dxfId="743" priority="1568">
      <formula>AND(Q67&lt;1.52,Q67&gt;=1.02)</formula>
    </cfRule>
    <cfRule type="expression" dxfId="742" priority="1569">
      <formula>AND(Q67&lt;1.82,Q67&gt;=1.52)</formula>
    </cfRule>
    <cfRule type="expression" dxfId="741" priority="1570">
      <formula>Q67&gt;=1.82</formula>
    </cfRule>
  </conditionalFormatting>
  <conditionalFormatting sqref="Q70">
    <cfRule type="expression" dxfId="740" priority="272">
      <formula>AND(Q70&lt;1.52,Q70&gt;=1.02)</formula>
    </cfRule>
    <cfRule type="expression" dxfId="739" priority="273">
      <formula>AND(Q70&lt;1.82,Q70&gt;=1.52)</formula>
    </cfRule>
    <cfRule type="expression" dxfId="738" priority="274">
      <formula>Q70&gt;=1.82</formula>
    </cfRule>
  </conditionalFormatting>
  <conditionalFormatting sqref="T15">
    <cfRule type="expression" dxfId="737" priority="1364">
      <formula>AND(T15&lt;1.52,T15&gt;=1.02)</formula>
    </cfRule>
    <cfRule type="expression" dxfId="736" priority="1365">
      <formula>AND(T15&lt;1.82,T15&gt;=1.52)</formula>
    </cfRule>
    <cfRule type="expression" dxfId="735" priority="1366">
      <formula>T15&gt;=1.82</formula>
    </cfRule>
  </conditionalFormatting>
  <conditionalFormatting sqref="T27">
    <cfRule type="expression" dxfId="734" priority="1280">
      <formula>AND(T27&lt;1.52,T27&gt;=1.02)</formula>
    </cfRule>
    <cfRule type="expression" dxfId="733" priority="1281">
      <formula>AND(T27&lt;1.82,T27&gt;=1.52)</formula>
    </cfRule>
    <cfRule type="expression" dxfId="732" priority="1282">
      <formula>T27&gt;=1.82</formula>
    </cfRule>
  </conditionalFormatting>
  <conditionalFormatting sqref="T37">
    <cfRule type="expression" dxfId="731" priority="1196">
      <formula>AND(T37&lt;1.52,T37&gt;=1.02)</formula>
    </cfRule>
    <cfRule type="expression" dxfId="730" priority="1197">
      <formula>AND(T37&lt;1.82,T37&gt;=1.52)</formula>
    </cfRule>
    <cfRule type="expression" dxfId="729" priority="1198">
      <formula>T37&gt;=1.82</formula>
    </cfRule>
  </conditionalFormatting>
  <conditionalFormatting sqref="T46">
    <cfRule type="expression" dxfId="728" priority="64">
      <formula>AND(T46&lt;1.52,T46&gt;=1.02)</formula>
    </cfRule>
    <cfRule type="expression" dxfId="727" priority="65">
      <formula>AND(T46&lt;1.82,T46&gt;=1.52)</formula>
    </cfRule>
    <cfRule type="expression" dxfId="726" priority="66">
      <formula>T46&gt;=1.82</formula>
    </cfRule>
  </conditionalFormatting>
  <conditionalFormatting sqref="T50">
    <cfRule type="expression" dxfId="722" priority="860">
      <formula>AND(T50&lt;1.52,T50&gt;=1.02)</formula>
    </cfRule>
    <cfRule type="expression" dxfId="721" priority="861">
      <formula>AND(T50&lt;1.82,T50&gt;=1.52)</formula>
    </cfRule>
    <cfRule type="expression" dxfId="720" priority="862">
      <formula>T50&gt;=1.82</formula>
    </cfRule>
  </conditionalFormatting>
  <conditionalFormatting sqref="T53">
    <cfRule type="expression" dxfId="719" priority="776">
      <formula>AND(T53&lt;1.52,T53&gt;=1.02)</formula>
    </cfRule>
    <cfRule type="expression" dxfId="718" priority="777">
      <formula>AND(T53&lt;1.82,T53&gt;=1.52)</formula>
    </cfRule>
    <cfRule type="expression" dxfId="717" priority="778">
      <formula>T53&gt;=1.82</formula>
    </cfRule>
  </conditionalFormatting>
  <conditionalFormatting sqref="T59">
    <cfRule type="expression" dxfId="716" priority="440">
      <formula>AND(T59&lt;1.52,T59&gt;=1.02)</formula>
    </cfRule>
    <cfRule type="expression" dxfId="715" priority="441">
      <formula>AND(T59&lt;1.82,T59&gt;=1.52)</formula>
    </cfRule>
    <cfRule type="expression" dxfId="714" priority="442">
      <formula>T59&gt;=1.82</formula>
    </cfRule>
  </conditionalFormatting>
  <conditionalFormatting sqref="T64">
    <cfRule type="expression" dxfId="713" priority="353">
      <formula>AND(T64&lt;1.52,T64&gt;=1.02)</formula>
    </cfRule>
    <cfRule type="expression" dxfId="712" priority="354">
      <formula>AND(T64&lt;1.82,T64&gt;=1.52)</formula>
    </cfRule>
    <cfRule type="expression" dxfId="711" priority="355">
      <formula>T64&gt;=1.82</formula>
    </cfRule>
  </conditionalFormatting>
  <conditionalFormatting sqref="T67">
    <cfRule type="expression" dxfId="710" priority="1565">
      <formula>AND(T67&lt;1.52,T67&gt;=1.02)</formula>
    </cfRule>
    <cfRule type="expression" dxfId="709" priority="1566">
      <formula>AND(T67&lt;1.82,T67&gt;=1.52)</formula>
    </cfRule>
    <cfRule type="expression" dxfId="708" priority="1567">
      <formula>T67&gt;=1.82</formula>
    </cfRule>
  </conditionalFormatting>
  <conditionalFormatting sqref="T70">
    <cfRule type="expression" dxfId="707" priority="269">
      <formula>AND(T70&lt;1.52,T70&gt;=1.02)</formula>
    </cfRule>
    <cfRule type="expression" dxfId="706" priority="270">
      <formula>AND(T70&lt;1.82,T70&gt;=1.52)</formula>
    </cfRule>
    <cfRule type="expression" dxfId="705" priority="271">
      <formula>T70&gt;=1.82</formula>
    </cfRule>
  </conditionalFormatting>
  <conditionalFormatting sqref="W15">
    <cfRule type="expression" dxfId="704" priority="1361">
      <formula>AND(W15&lt;1.52,W15&gt;=1.02)</formula>
    </cfRule>
    <cfRule type="expression" dxfId="703" priority="1362">
      <formula>AND(W15&lt;1.82,W15&gt;=1.52)</formula>
    </cfRule>
    <cfRule type="expression" dxfId="702" priority="1363">
      <formula>W15&gt;=1.82</formula>
    </cfRule>
  </conditionalFormatting>
  <conditionalFormatting sqref="W27">
    <cfRule type="expression" dxfId="701" priority="1277">
      <formula>AND(W27&lt;1.52,W27&gt;=1.02)</formula>
    </cfRule>
    <cfRule type="expression" dxfId="700" priority="1278">
      <formula>AND(W27&lt;1.82,W27&gt;=1.52)</formula>
    </cfRule>
    <cfRule type="expression" dxfId="699" priority="1279">
      <formula>W27&gt;=1.82</formula>
    </cfRule>
  </conditionalFormatting>
  <conditionalFormatting sqref="W37">
    <cfRule type="expression" dxfId="698" priority="1193">
      <formula>AND(W37&lt;1.52,W37&gt;=1.02)</formula>
    </cfRule>
    <cfRule type="expression" dxfId="697" priority="1194">
      <formula>AND(W37&lt;1.82,W37&gt;=1.52)</formula>
    </cfRule>
    <cfRule type="expression" dxfId="696" priority="1195">
      <formula>W37&gt;=1.82</formula>
    </cfRule>
  </conditionalFormatting>
  <conditionalFormatting sqref="W46">
    <cfRule type="expression" dxfId="695" priority="61">
      <formula>AND(W46&lt;1.52,W46&gt;=1.02)</formula>
    </cfRule>
    <cfRule type="expression" dxfId="694" priority="62">
      <formula>AND(W46&lt;1.82,W46&gt;=1.52)</formula>
    </cfRule>
    <cfRule type="expression" dxfId="693" priority="63">
      <formula>W46&gt;=1.82</formula>
    </cfRule>
  </conditionalFormatting>
  <conditionalFormatting sqref="W50">
    <cfRule type="expression" dxfId="689" priority="857">
      <formula>AND(W50&lt;1.52,W50&gt;=1.02)</formula>
    </cfRule>
    <cfRule type="expression" dxfId="688" priority="858">
      <formula>AND(W50&lt;1.82,W50&gt;=1.52)</formula>
    </cfRule>
    <cfRule type="expression" dxfId="687" priority="859">
      <formula>W50&gt;=1.82</formula>
    </cfRule>
  </conditionalFormatting>
  <conditionalFormatting sqref="W53">
    <cfRule type="expression" dxfId="686" priority="773">
      <formula>AND(W53&lt;1.52,W53&gt;=1.02)</formula>
    </cfRule>
    <cfRule type="expression" dxfId="685" priority="774">
      <formula>AND(W53&lt;1.82,W53&gt;=1.52)</formula>
    </cfRule>
    <cfRule type="expression" dxfId="684" priority="775">
      <formula>W53&gt;=1.82</formula>
    </cfRule>
  </conditionalFormatting>
  <conditionalFormatting sqref="W59">
    <cfRule type="expression" dxfId="683" priority="437">
      <formula>AND(W59&lt;1.52,W59&gt;=1.02)</formula>
    </cfRule>
    <cfRule type="expression" dxfId="682" priority="438">
      <formula>AND(W59&lt;1.82,W59&gt;=1.52)</formula>
    </cfRule>
    <cfRule type="expression" dxfId="681" priority="439">
      <formula>W59&gt;=1.82</formula>
    </cfRule>
  </conditionalFormatting>
  <conditionalFormatting sqref="W64">
    <cfRule type="expression" dxfId="680" priority="350">
      <formula>AND(W64&lt;1.52,W64&gt;=1.02)</formula>
    </cfRule>
    <cfRule type="expression" dxfId="679" priority="351">
      <formula>AND(W64&lt;1.82,W64&gt;=1.52)</formula>
    </cfRule>
    <cfRule type="expression" dxfId="678" priority="352">
      <formula>W64&gt;=1.82</formula>
    </cfRule>
  </conditionalFormatting>
  <conditionalFormatting sqref="W67">
    <cfRule type="expression" dxfId="677" priority="1562">
      <formula>AND(W67&lt;1.52,W67&gt;=1.02)</formula>
    </cfRule>
    <cfRule type="expression" dxfId="676" priority="1563">
      <formula>AND(W67&lt;1.82,W67&gt;=1.52)</formula>
    </cfRule>
    <cfRule type="expression" dxfId="675" priority="1564">
      <formula>W67&gt;=1.82</formula>
    </cfRule>
  </conditionalFormatting>
  <conditionalFormatting sqref="W70">
    <cfRule type="expression" dxfId="674" priority="266">
      <formula>AND(W70&lt;1.52,W70&gt;=1.02)</formula>
    </cfRule>
    <cfRule type="expression" dxfId="673" priority="267">
      <formula>AND(W70&lt;1.82,W70&gt;=1.52)</formula>
    </cfRule>
    <cfRule type="expression" dxfId="672" priority="268">
      <formula>W70&gt;=1.82</formula>
    </cfRule>
  </conditionalFormatting>
  <conditionalFormatting sqref="Z15">
    <cfRule type="expression" dxfId="671" priority="1358">
      <formula>AND(Z15&lt;1.52,Z15&gt;=1.02)</formula>
    </cfRule>
    <cfRule type="expression" dxfId="670" priority="1359">
      <formula>AND(Z15&lt;1.82,Z15&gt;=1.52)</formula>
    </cfRule>
    <cfRule type="expression" dxfId="669" priority="1360">
      <formula>Z15&gt;=1.82</formula>
    </cfRule>
  </conditionalFormatting>
  <conditionalFormatting sqref="Z27">
    <cfRule type="expression" dxfId="668" priority="1274">
      <formula>AND(Z27&lt;1.52,Z27&gt;=1.02)</formula>
    </cfRule>
    <cfRule type="expression" dxfId="667" priority="1275">
      <formula>AND(Z27&lt;1.82,Z27&gt;=1.52)</formula>
    </cfRule>
    <cfRule type="expression" dxfId="666" priority="1276">
      <formula>Z27&gt;=1.82</formula>
    </cfRule>
  </conditionalFormatting>
  <conditionalFormatting sqref="Z37">
    <cfRule type="expression" dxfId="665" priority="1190">
      <formula>AND(Z37&lt;1.52,Z37&gt;=1.02)</formula>
    </cfRule>
    <cfRule type="expression" dxfId="664" priority="1191">
      <formula>AND(Z37&lt;1.82,Z37&gt;=1.52)</formula>
    </cfRule>
    <cfRule type="expression" dxfId="663" priority="1192">
      <formula>Z37&gt;=1.82</formula>
    </cfRule>
  </conditionalFormatting>
  <conditionalFormatting sqref="Z46">
    <cfRule type="expression" dxfId="662" priority="58">
      <formula>AND(Z46&lt;1.52,Z46&gt;=1.02)</formula>
    </cfRule>
    <cfRule type="expression" dxfId="661" priority="59">
      <formula>AND(Z46&lt;1.82,Z46&gt;=1.52)</formula>
    </cfRule>
    <cfRule type="expression" dxfId="660" priority="60">
      <formula>Z46&gt;=1.82</formula>
    </cfRule>
  </conditionalFormatting>
  <conditionalFormatting sqref="Z50">
    <cfRule type="expression" dxfId="656" priority="854">
      <formula>AND(Z50&lt;1.52,Z50&gt;=1.02)</formula>
    </cfRule>
    <cfRule type="expression" dxfId="655" priority="855">
      <formula>AND(Z50&lt;1.82,Z50&gt;=1.52)</formula>
    </cfRule>
    <cfRule type="expression" dxfId="654" priority="856">
      <formula>Z50&gt;=1.82</formula>
    </cfRule>
  </conditionalFormatting>
  <conditionalFormatting sqref="Z53">
    <cfRule type="expression" dxfId="653" priority="770">
      <formula>AND(Z53&lt;1.52,Z53&gt;=1.02)</formula>
    </cfRule>
    <cfRule type="expression" dxfId="652" priority="771">
      <formula>AND(Z53&lt;1.82,Z53&gt;=1.52)</formula>
    </cfRule>
    <cfRule type="expression" dxfId="651" priority="772">
      <formula>Z53&gt;=1.82</formula>
    </cfRule>
  </conditionalFormatting>
  <conditionalFormatting sqref="Z59">
    <cfRule type="expression" dxfId="650" priority="434">
      <formula>AND(Z59&lt;1.52,Z59&gt;=1.02)</formula>
    </cfRule>
    <cfRule type="expression" dxfId="649" priority="435">
      <formula>AND(Z59&lt;1.82,Z59&gt;=1.52)</formula>
    </cfRule>
    <cfRule type="expression" dxfId="648" priority="436">
      <formula>Z59&gt;=1.82</formula>
    </cfRule>
  </conditionalFormatting>
  <conditionalFormatting sqref="Z64">
    <cfRule type="expression" dxfId="647" priority="347">
      <formula>AND(Z64&lt;1.52,Z64&gt;=1.02)</formula>
    </cfRule>
    <cfRule type="expression" dxfId="646" priority="348">
      <formula>AND(Z64&lt;1.82,Z64&gt;=1.52)</formula>
    </cfRule>
    <cfRule type="expression" dxfId="645" priority="349">
      <formula>Z64&gt;=1.82</formula>
    </cfRule>
  </conditionalFormatting>
  <conditionalFormatting sqref="Z67">
    <cfRule type="expression" dxfId="644" priority="1559">
      <formula>AND(Z67&lt;1.52,Z67&gt;=1.02)</formula>
    </cfRule>
    <cfRule type="expression" dxfId="643" priority="1560">
      <formula>AND(Z67&lt;1.82,Z67&gt;=1.52)</formula>
    </cfRule>
    <cfRule type="expression" dxfId="642" priority="1561">
      <formula>Z67&gt;=1.82</formula>
    </cfRule>
  </conditionalFormatting>
  <conditionalFormatting sqref="Z70">
    <cfRule type="expression" dxfId="641" priority="263">
      <formula>AND(Z70&lt;1.52,Z70&gt;=1.02)</formula>
    </cfRule>
    <cfRule type="expression" dxfId="640" priority="264">
      <formula>AND(Z70&lt;1.82,Z70&gt;=1.52)</formula>
    </cfRule>
    <cfRule type="expression" dxfId="639" priority="265">
      <formula>Z70&gt;=1.82</formula>
    </cfRule>
  </conditionalFormatting>
  <conditionalFormatting sqref="AC15">
    <cfRule type="expression" dxfId="638" priority="1355">
      <formula>AND(AC15&lt;1.52,AC15&gt;=1.02)</formula>
    </cfRule>
    <cfRule type="expression" dxfId="637" priority="1356">
      <formula>AND(AC15&lt;1.82,AC15&gt;=1.52)</formula>
    </cfRule>
    <cfRule type="expression" dxfId="636" priority="1357">
      <formula>AC15&gt;=1.82</formula>
    </cfRule>
  </conditionalFormatting>
  <conditionalFormatting sqref="AC27">
    <cfRule type="expression" dxfId="635" priority="1271">
      <formula>AND(AC27&lt;1.52,AC27&gt;=1.02)</formula>
    </cfRule>
    <cfRule type="expression" dxfId="634" priority="1272">
      <formula>AND(AC27&lt;1.82,AC27&gt;=1.52)</formula>
    </cfRule>
    <cfRule type="expression" dxfId="633" priority="1273">
      <formula>AC27&gt;=1.82</formula>
    </cfRule>
  </conditionalFormatting>
  <conditionalFormatting sqref="AC37">
    <cfRule type="expression" dxfId="632" priority="1187">
      <formula>AND(AC37&lt;1.52,AC37&gt;=1.02)</formula>
    </cfRule>
    <cfRule type="expression" dxfId="631" priority="1188">
      <formula>AND(AC37&lt;1.82,AC37&gt;=1.52)</formula>
    </cfRule>
    <cfRule type="expression" dxfId="630" priority="1189">
      <formula>AC37&gt;=1.82</formula>
    </cfRule>
  </conditionalFormatting>
  <conditionalFormatting sqref="AC46">
    <cfRule type="expression" dxfId="629" priority="55">
      <formula>AND(AC46&lt;1.52,AC46&gt;=1.02)</formula>
    </cfRule>
    <cfRule type="expression" dxfId="628" priority="56">
      <formula>AND(AC46&lt;1.82,AC46&gt;=1.52)</formula>
    </cfRule>
    <cfRule type="expression" dxfId="627" priority="57">
      <formula>AC46&gt;=1.82</formula>
    </cfRule>
  </conditionalFormatting>
  <conditionalFormatting sqref="AC50">
    <cfRule type="expression" dxfId="623" priority="851">
      <formula>AND(AC50&lt;1.52,AC50&gt;=1.02)</formula>
    </cfRule>
    <cfRule type="expression" dxfId="622" priority="852">
      <formula>AND(AC50&lt;1.82,AC50&gt;=1.52)</formula>
    </cfRule>
    <cfRule type="expression" dxfId="621" priority="853">
      <formula>AC50&gt;=1.82</formula>
    </cfRule>
  </conditionalFormatting>
  <conditionalFormatting sqref="AC53">
    <cfRule type="expression" dxfId="620" priority="767">
      <formula>AND(AC53&lt;1.52,AC53&gt;=1.02)</formula>
    </cfRule>
    <cfRule type="expression" dxfId="619" priority="768">
      <formula>AND(AC53&lt;1.82,AC53&gt;=1.52)</formula>
    </cfRule>
    <cfRule type="expression" dxfId="618" priority="769">
      <formula>AC53&gt;=1.82</formula>
    </cfRule>
  </conditionalFormatting>
  <conditionalFormatting sqref="AC59">
    <cfRule type="expression" dxfId="617" priority="431">
      <formula>AND(AC59&lt;1.52,AC59&gt;=1.02)</formula>
    </cfRule>
    <cfRule type="expression" dxfId="616" priority="432">
      <formula>AND(AC59&lt;1.82,AC59&gt;=1.52)</formula>
    </cfRule>
    <cfRule type="expression" dxfId="615" priority="433">
      <formula>AC59&gt;=1.82</formula>
    </cfRule>
  </conditionalFormatting>
  <conditionalFormatting sqref="AC64">
    <cfRule type="expression" dxfId="614" priority="344">
      <formula>AND(AC64&lt;1.52,AC64&gt;=1.02)</formula>
    </cfRule>
    <cfRule type="expression" dxfId="613" priority="345">
      <formula>AND(AC64&lt;1.82,AC64&gt;=1.52)</formula>
    </cfRule>
    <cfRule type="expression" dxfId="612" priority="346">
      <formula>AC64&gt;=1.82</formula>
    </cfRule>
  </conditionalFormatting>
  <conditionalFormatting sqref="AC67">
    <cfRule type="expression" dxfId="611" priority="1556">
      <formula>AND(AC67&lt;1.52,AC67&gt;=1.02)</formula>
    </cfRule>
    <cfRule type="expression" dxfId="610" priority="1557">
      <formula>AND(AC67&lt;1.82,AC67&gt;=1.52)</formula>
    </cfRule>
    <cfRule type="expression" dxfId="609" priority="1558">
      <formula>AC67&gt;=1.82</formula>
    </cfRule>
  </conditionalFormatting>
  <conditionalFormatting sqref="AC70">
    <cfRule type="expression" dxfId="608" priority="260">
      <formula>AND(AC70&lt;1.52,AC70&gt;=1.02)</formula>
    </cfRule>
    <cfRule type="expression" dxfId="607" priority="261">
      <formula>AND(AC70&lt;1.82,AC70&gt;=1.52)</formula>
    </cfRule>
    <cfRule type="expression" dxfId="606" priority="262">
      <formula>AC70&gt;=1.82</formula>
    </cfRule>
  </conditionalFormatting>
  <conditionalFormatting sqref="AF15">
    <cfRule type="expression" dxfId="605" priority="1352">
      <formula>AND(AF15&lt;1.52,AF15&gt;=1.02)</formula>
    </cfRule>
    <cfRule type="expression" dxfId="604" priority="1353">
      <formula>AND(AF15&lt;1.82,AF15&gt;=1.52)</formula>
    </cfRule>
    <cfRule type="expression" dxfId="603" priority="1354">
      <formula>AF15&gt;=1.82</formula>
    </cfRule>
  </conditionalFormatting>
  <conditionalFormatting sqref="AF27">
    <cfRule type="expression" dxfId="602" priority="1268">
      <formula>AND(AF27&lt;1.52,AF27&gt;=1.02)</formula>
    </cfRule>
    <cfRule type="expression" dxfId="601" priority="1269">
      <formula>AND(AF27&lt;1.82,AF27&gt;=1.52)</formula>
    </cfRule>
    <cfRule type="expression" dxfId="600" priority="1270">
      <formula>AF27&gt;=1.82</formula>
    </cfRule>
  </conditionalFormatting>
  <conditionalFormatting sqref="AF37">
    <cfRule type="expression" dxfId="599" priority="1184">
      <formula>AND(AF37&lt;1.52,AF37&gt;=1.02)</formula>
    </cfRule>
    <cfRule type="expression" dxfId="598" priority="1185">
      <formula>AND(AF37&lt;1.82,AF37&gt;=1.52)</formula>
    </cfRule>
    <cfRule type="expression" dxfId="597" priority="1186">
      <formula>AF37&gt;=1.82</formula>
    </cfRule>
  </conditionalFormatting>
  <conditionalFormatting sqref="AF46">
    <cfRule type="expression" dxfId="596" priority="52">
      <formula>AND(AF46&lt;1.52,AF46&gt;=1.02)</formula>
    </cfRule>
    <cfRule type="expression" dxfId="595" priority="53">
      <formula>AND(AF46&lt;1.82,AF46&gt;=1.52)</formula>
    </cfRule>
    <cfRule type="expression" dxfId="594" priority="54">
      <formula>AF46&gt;=1.82</formula>
    </cfRule>
  </conditionalFormatting>
  <conditionalFormatting sqref="AF50">
    <cfRule type="expression" dxfId="590" priority="848">
      <formula>AND(AF50&lt;1.52,AF50&gt;=1.02)</formula>
    </cfRule>
    <cfRule type="expression" dxfId="589" priority="849">
      <formula>AND(AF50&lt;1.82,AF50&gt;=1.52)</formula>
    </cfRule>
    <cfRule type="expression" dxfId="588" priority="850">
      <formula>AF50&gt;=1.82</formula>
    </cfRule>
  </conditionalFormatting>
  <conditionalFormatting sqref="AF53">
    <cfRule type="expression" dxfId="587" priority="764">
      <formula>AND(AF53&lt;1.52,AF53&gt;=1.02)</formula>
    </cfRule>
    <cfRule type="expression" dxfId="586" priority="765">
      <formula>AND(AF53&lt;1.82,AF53&gt;=1.52)</formula>
    </cfRule>
    <cfRule type="expression" dxfId="585" priority="766">
      <formula>AF53&gt;=1.82</formula>
    </cfRule>
  </conditionalFormatting>
  <conditionalFormatting sqref="AF59">
    <cfRule type="expression" dxfId="584" priority="428">
      <formula>AND(AF59&lt;1.52,AF59&gt;=1.02)</formula>
    </cfRule>
    <cfRule type="expression" dxfId="583" priority="429">
      <formula>AND(AF59&lt;1.82,AF59&gt;=1.52)</formula>
    </cfRule>
    <cfRule type="expression" dxfId="582" priority="430">
      <formula>AF59&gt;=1.82</formula>
    </cfRule>
  </conditionalFormatting>
  <conditionalFormatting sqref="AF64">
    <cfRule type="expression" dxfId="581" priority="341">
      <formula>AND(AF64&lt;1.52,AF64&gt;=1.02)</formula>
    </cfRule>
    <cfRule type="expression" dxfId="580" priority="342">
      <formula>AND(AF64&lt;1.82,AF64&gt;=1.52)</formula>
    </cfRule>
    <cfRule type="expression" dxfId="579" priority="343">
      <formula>AF64&gt;=1.82</formula>
    </cfRule>
  </conditionalFormatting>
  <conditionalFormatting sqref="AF67">
    <cfRule type="expression" dxfId="578" priority="1553">
      <formula>AND(AF67&lt;1.52,AF67&gt;=1.02)</formula>
    </cfRule>
    <cfRule type="expression" dxfId="577" priority="1554">
      <formula>AND(AF67&lt;1.82,AF67&gt;=1.52)</formula>
    </cfRule>
    <cfRule type="expression" dxfId="576" priority="1555">
      <formula>AF67&gt;=1.82</formula>
    </cfRule>
  </conditionalFormatting>
  <conditionalFormatting sqref="AF70">
    <cfRule type="expression" dxfId="575" priority="257">
      <formula>AND(AF70&lt;1.52,AF70&gt;=1.02)</formula>
    </cfRule>
    <cfRule type="expression" dxfId="574" priority="258">
      <formula>AND(AF70&lt;1.82,AF70&gt;=1.52)</formula>
    </cfRule>
    <cfRule type="expression" dxfId="573" priority="259">
      <formula>AF70&gt;=1.82</formula>
    </cfRule>
  </conditionalFormatting>
  <conditionalFormatting sqref="AI15">
    <cfRule type="expression" dxfId="572" priority="1349">
      <formula>AND(AI15&lt;1.52,AI15&gt;=1.02)</formula>
    </cfRule>
    <cfRule type="expression" dxfId="571" priority="1350">
      <formula>AND(AI15&lt;1.82,AI15&gt;=1.52)</formula>
    </cfRule>
    <cfRule type="expression" dxfId="570" priority="1351">
      <formula>AI15&gt;=1.82</formula>
    </cfRule>
  </conditionalFormatting>
  <conditionalFormatting sqref="AI27">
    <cfRule type="expression" dxfId="569" priority="1265">
      <formula>AND(AI27&lt;1.52,AI27&gt;=1.02)</formula>
    </cfRule>
    <cfRule type="expression" dxfId="568" priority="1266">
      <formula>AND(AI27&lt;1.82,AI27&gt;=1.52)</formula>
    </cfRule>
    <cfRule type="expression" dxfId="567" priority="1267">
      <formula>AI27&gt;=1.82</formula>
    </cfRule>
  </conditionalFormatting>
  <conditionalFormatting sqref="AI37">
    <cfRule type="expression" dxfId="566" priority="1181">
      <formula>AND(AI37&lt;1.52,AI37&gt;=1.02)</formula>
    </cfRule>
    <cfRule type="expression" dxfId="565" priority="1182">
      <formula>AND(AI37&lt;1.82,AI37&gt;=1.52)</formula>
    </cfRule>
    <cfRule type="expression" dxfId="564" priority="1183">
      <formula>AI37&gt;=1.82</formula>
    </cfRule>
  </conditionalFormatting>
  <conditionalFormatting sqref="AI46">
    <cfRule type="expression" dxfId="563" priority="49">
      <formula>AND(AI46&lt;1.52,AI46&gt;=1.02)</formula>
    </cfRule>
    <cfRule type="expression" dxfId="562" priority="50">
      <formula>AND(AI46&lt;1.82,AI46&gt;=1.52)</formula>
    </cfRule>
    <cfRule type="expression" dxfId="561" priority="51">
      <formula>AI46&gt;=1.82</formula>
    </cfRule>
  </conditionalFormatting>
  <conditionalFormatting sqref="AI50">
    <cfRule type="expression" dxfId="557" priority="845">
      <formula>AND(AI50&lt;1.52,AI50&gt;=1.02)</formula>
    </cfRule>
    <cfRule type="expression" dxfId="556" priority="846">
      <formula>AND(AI50&lt;1.82,AI50&gt;=1.52)</formula>
    </cfRule>
    <cfRule type="expression" dxfId="555" priority="847">
      <formula>AI50&gt;=1.82</formula>
    </cfRule>
  </conditionalFormatting>
  <conditionalFormatting sqref="AI53">
    <cfRule type="expression" dxfId="554" priority="761">
      <formula>AND(AI53&lt;1.52,AI53&gt;=1.02)</formula>
    </cfRule>
    <cfRule type="expression" dxfId="553" priority="762">
      <formula>AND(AI53&lt;1.82,AI53&gt;=1.52)</formula>
    </cfRule>
    <cfRule type="expression" dxfId="552" priority="763">
      <formula>AI53&gt;=1.82</formula>
    </cfRule>
  </conditionalFormatting>
  <conditionalFormatting sqref="AI59">
    <cfRule type="expression" dxfId="551" priority="425">
      <formula>AND(AI59&lt;1.52,AI59&gt;=1.02)</formula>
    </cfRule>
    <cfRule type="expression" dxfId="550" priority="426">
      <formula>AND(AI59&lt;1.82,AI59&gt;=1.52)</formula>
    </cfRule>
    <cfRule type="expression" dxfId="549" priority="427">
      <formula>AI59&gt;=1.82</formula>
    </cfRule>
  </conditionalFormatting>
  <conditionalFormatting sqref="AI64">
    <cfRule type="expression" dxfId="548" priority="338">
      <formula>AND(AI64&lt;1.52,AI64&gt;=1.02)</formula>
    </cfRule>
    <cfRule type="expression" dxfId="547" priority="339">
      <formula>AND(AI64&lt;1.82,AI64&gt;=1.52)</formula>
    </cfRule>
    <cfRule type="expression" dxfId="546" priority="340">
      <formula>AI64&gt;=1.82</formula>
    </cfRule>
  </conditionalFormatting>
  <conditionalFormatting sqref="AI67">
    <cfRule type="expression" dxfId="545" priority="1550">
      <formula>AND(AI67&lt;1.52,AI67&gt;=1.02)</formula>
    </cfRule>
    <cfRule type="expression" dxfId="544" priority="1551">
      <formula>AND(AI67&lt;1.82,AI67&gt;=1.52)</formula>
    </cfRule>
    <cfRule type="expression" dxfId="543" priority="1552">
      <formula>AI67&gt;=1.82</formula>
    </cfRule>
  </conditionalFormatting>
  <conditionalFormatting sqref="AI70">
    <cfRule type="expression" dxfId="542" priority="254">
      <formula>AND(AI70&lt;1.52,AI70&gt;=1.02)</formula>
    </cfRule>
    <cfRule type="expression" dxfId="541" priority="255">
      <formula>AND(AI70&lt;1.82,AI70&gt;=1.52)</formula>
    </cfRule>
    <cfRule type="expression" dxfId="540" priority="256">
      <formula>AI70&gt;=1.82</formula>
    </cfRule>
  </conditionalFormatting>
  <conditionalFormatting sqref="AL15">
    <cfRule type="expression" dxfId="539" priority="1346">
      <formula>AND(AL15&lt;1.52,AL15&gt;=1.02)</formula>
    </cfRule>
    <cfRule type="expression" dxfId="538" priority="1347">
      <formula>AND(AL15&lt;1.82,AL15&gt;=1.52)</formula>
    </cfRule>
    <cfRule type="expression" dxfId="537" priority="1348">
      <formula>AL15&gt;=1.82</formula>
    </cfRule>
  </conditionalFormatting>
  <conditionalFormatting sqref="AL27">
    <cfRule type="expression" dxfId="536" priority="1262">
      <formula>AND(AL27&lt;1.52,AL27&gt;=1.02)</formula>
    </cfRule>
    <cfRule type="expression" dxfId="535" priority="1263">
      <formula>AND(AL27&lt;1.82,AL27&gt;=1.52)</formula>
    </cfRule>
    <cfRule type="expression" dxfId="534" priority="1264">
      <formula>AL27&gt;=1.82</formula>
    </cfRule>
  </conditionalFormatting>
  <conditionalFormatting sqref="AL37">
    <cfRule type="expression" dxfId="533" priority="1178">
      <formula>AND(AL37&lt;1.52,AL37&gt;=1.02)</formula>
    </cfRule>
    <cfRule type="expression" dxfId="532" priority="1179">
      <formula>AND(AL37&lt;1.82,AL37&gt;=1.52)</formula>
    </cfRule>
    <cfRule type="expression" dxfId="531" priority="1180">
      <formula>AL37&gt;=1.82</formula>
    </cfRule>
  </conditionalFormatting>
  <conditionalFormatting sqref="AL46">
    <cfRule type="expression" dxfId="530" priority="46">
      <formula>AND(AL46&lt;1.52,AL46&gt;=1.02)</formula>
    </cfRule>
    <cfRule type="expression" dxfId="529" priority="47">
      <formula>AND(AL46&lt;1.82,AL46&gt;=1.52)</formula>
    </cfRule>
    <cfRule type="expression" dxfId="528" priority="48">
      <formula>AL46&gt;=1.82</formula>
    </cfRule>
  </conditionalFormatting>
  <conditionalFormatting sqref="AL50">
    <cfRule type="expression" dxfId="524" priority="842">
      <formula>AND(AL50&lt;1.52,AL50&gt;=1.02)</formula>
    </cfRule>
    <cfRule type="expression" dxfId="523" priority="843">
      <formula>AND(AL50&lt;1.82,AL50&gt;=1.52)</formula>
    </cfRule>
    <cfRule type="expression" dxfId="522" priority="844">
      <formula>AL50&gt;=1.82</formula>
    </cfRule>
  </conditionalFormatting>
  <conditionalFormatting sqref="AL53">
    <cfRule type="expression" dxfId="521" priority="758">
      <formula>AND(AL53&lt;1.52,AL53&gt;=1.02)</formula>
    </cfRule>
    <cfRule type="expression" dxfId="520" priority="759">
      <formula>AND(AL53&lt;1.82,AL53&gt;=1.52)</formula>
    </cfRule>
    <cfRule type="expression" dxfId="519" priority="760">
      <formula>AL53&gt;=1.82</formula>
    </cfRule>
  </conditionalFormatting>
  <conditionalFormatting sqref="AL59">
    <cfRule type="expression" dxfId="518" priority="422">
      <formula>AND(AL59&lt;1.52,AL59&gt;=1.02)</formula>
    </cfRule>
    <cfRule type="expression" dxfId="517" priority="423">
      <formula>AND(AL59&lt;1.82,AL59&gt;=1.52)</formula>
    </cfRule>
    <cfRule type="expression" dxfId="516" priority="424">
      <formula>AL59&gt;=1.82</formula>
    </cfRule>
  </conditionalFormatting>
  <conditionalFormatting sqref="AL64">
    <cfRule type="expression" dxfId="515" priority="335">
      <formula>AND(AL64&lt;1.52,AL64&gt;=1.02)</formula>
    </cfRule>
    <cfRule type="expression" dxfId="514" priority="336">
      <formula>AND(AL64&lt;1.82,AL64&gt;=1.52)</formula>
    </cfRule>
    <cfRule type="expression" dxfId="513" priority="337">
      <formula>AL64&gt;=1.82</formula>
    </cfRule>
  </conditionalFormatting>
  <conditionalFormatting sqref="AL67">
    <cfRule type="expression" dxfId="512" priority="1547">
      <formula>AND(AL67&lt;1.52,AL67&gt;=1.02)</formula>
    </cfRule>
    <cfRule type="expression" dxfId="511" priority="1548">
      <formula>AND(AL67&lt;1.82,AL67&gt;=1.52)</formula>
    </cfRule>
    <cfRule type="expression" dxfId="510" priority="1549">
      <formula>AL67&gt;=1.82</formula>
    </cfRule>
  </conditionalFormatting>
  <conditionalFormatting sqref="AL70">
    <cfRule type="expression" dxfId="509" priority="251">
      <formula>AND(AL70&lt;1.52,AL70&gt;=1.02)</formula>
    </cfRule>
    <cfRule type="expression" dxfId="508" priority="252">
      <formula>AND(AL70&lt;1.82,AL70&gt;=1.52)</formula>
    </cfRule>
    <cfRule type="expression" dxfId="507" priority="253">
      <formula>AL70&gt;=1.82</formula>
    </cfRule>
  </conditionalFormatting>
  <conditionalFormatting sqref="AO15">
    <cfRule type="expression" dxfId="506" priority="1343">
      <formula>AND(AO15&lt;1.52,AO15&gt;=1.02)</formula>
    </cfRule>
    <cfRule type="expression" dxfId="505" priority="1344">
      <formula>AND(AO15&lt;1.82,AO15&gt;=1.52)</formula>
    </cfRule>
    <cfRule type="expression" dxfId="504" priority="1345">
      <formula>AO15&gt;=1.82</formula>
    </cfRule>
  </conditionalFormatting>
  <conditionalFormatting sqref="AO27">
    <cfRule type="expression" dxfId="503" priority="1259">
      <formula>AND(AO27&lt;1.52,AO27&gt;=1.02)</formula>
    </cfRule>
    <cfRule type="expression" dxfId="502" priority="1260">
      <formula>AND(AO27&lt;1.82,AO27&gt;=1.52)</formula>
    </cfRule>
    <cfRule type="expression" dxfId="501" priority="1261">
      <formula>AO27&gt;=1.82</formula>
    </cfRule>
  </conditionalFormatting>
  <conditionalFormatting sqref="AO37">
    <cfRule type="expression" dxfId="500" priority="1175">
      <formula>AND(AO37&lt;1.52,AO37&gt;=1.02)</formula>
    </cfRule>
    <cfRule type="expression" dxfId="499" priority="1176">
      <formula>AND(AO37&lt;1.82,AO37&gt;=1.52)</formula>
    </cfRule>
    <cfRule type="expression" dxfId="498" priority="1177">
      <formula>AO37&gt;=1.82</formula>
    </cfRule>
  </conditionalFormatting>
  <conditionalFormatting sqref="AO46">
    <cfRule type="expression" dxfId="497" priority="43">
      <formula>AND(AO46&lt;1.52,AO46&gt;=1.02)</formula>
    </cfRule>
    <cfRule type="expression" dxfId="496" priority="44">
      <formula>AND(AO46&lt;1.82,AO46&gt;=1.52)</formula>
    </cfRule>
    <cfRule type="expression" dxfId="495" priority="45">
      <formula>AO46&gt;=1.82</formula>
    </cfRule>
  </conditionalFormatting>
  <conditionalFormatting sqref="AO50">
    <cfRule type="expression" dxfId="491" priority="839">
      <formula>AND(AO50&lt;1.52,AO50&gt;=1.02)</formula>
    </cfRule>
    <cfRule type="expression" dxfId="490" priority="840">
      <formula>AND(AO50&lt;1.82,AO50&gt;=1.52)</formula>
    </cfRule>
    <cfRule type="expression" dxfId="489" priority="841">
      <formula>AO50&gt;=1.82</formula>
    </cfRule>
  </conditionalFormatting>
  <conditionalFormatting sqref="AO53">
    <cfRule type="expression" dxfId="488" priority="755">
      <formula>AND(AO53&lt;1.52,AO53&gt;=1.02)</formula>
    </cfRule>
    <cfRule type="expression" dxfId="487" priority="756">
      <formula>AND(AO53&lt;1.82,AO53&gt;=1.52)</formula>
    </cfRule>
    <cfRule type="expression" dxfId="486" priority="757">
      <formula>AO53&gt;=1.82</formula>
    </cfRule>
  </conditionalFormatting>
  <conditionalFormatting sqref="AO59">
    <cfRule type="expression" dxfId="485" priority="419">
      <formula>AND(AO59&lt;1.52,AO59&gt;=1.02)</formula>
    </cfRule>
    <cfRule type="expression" dxfId="484" priority="420">
      <formula>AND(AO59&lt;1.82,AO59&gt;=1.52)</formula>
    </cfRule>
    <cfRule type="expression" dxfId="483" priority="421">
      <formula>AO59&gt;=1.82</formula>
    </cfRule>
  </conditionalFormatting>
  <conditionalFormatting sqref="AO64">
    <cfRule type="expression" dxfId="482" priority="332">
      <formula>AND(AO64&lt;1.52,AO64&gt;=1.02)</formula>
    </cfRule>
    <cfRule type="expression" dxfId="481" priority="333">
      <formula>AND(AO64&lt;1.82,AO64&gt;=1.52)</formula>
    </cfRule>
    <cfRule type="expression" dxfId="480" priority="334">
      <formula>AO64&gt;=1.82</formula>
    </cfRule>
  </conditionalFormatting>
  <conditionalFormatting sqref="AO67">
    <cfRule type="expression" dxfId="479" priority="1544">
      <formula>AND(AO67&lt;1.52,AO67&gt;=1.02)</formula>
    </cfRule>
    <cfRule type="expression" dxfId="478" priority="1545">
      <formula>AND(AO67&lt;1.82,AO67&gt;=1.52)</formula>
    </cfRule>
    <cfRule type="expression" dxfId="477" priority="1546">
      <formula>AO67&gt;=1.82</formula>
    </cfRule>
  </conditionalFormatting>
  <conditionalFormatting sqref="AO70">
    <cfRule type="expression" dxfId="476" priority="248">
      <formula>AND(AO70&lt;1.52,AO70&gt;=1.02)</formula>
    </cfRule>
    <cfRule type="expression" dxfId="475" priority="249">
      <formula>AND(AO70&lt;1.82,AO70&gt;=1.52)</formula>
    </cfRule>
    <cfRule type="expression" dxfId="474" priority="250">
      <formula>AO70&gt;=1.82</formula>
    </cfRule>
  </conditionalFormatting>
  <conditionalFormatting sqref="AR15">
    <cfRule type="expression" dxfId="473" priority="1340">
      <formula>AND(AR15&lt;1.52,AR15&gt;=1.02)</formula>
    </cfRule>
    <cfRule type="expression" dxfId="472" priority="1341">
      <formula>AND(AR15&lt;1.82,AR15&gt;=1.52)</formula>
    </cfRule>
    <cfRule type="expression" dxfId="471" priority="1342">
      <formula>AR15&gt;=1.82</formula>
    </cfRule>
  </conditionalFormatting>
  <conditionalFormatting sqref="AR27">
    <cfRule type="expression" dxfId="470" priority="1256">
      <formula>AND(AR27&lt;1.52,AR27&gt;=1.02)</formula>
    </cfRule>
    <cfRule type="expression" dxfId="469" priority="1257">
      <formula>AND(AR27&lt;1.82,AR27&gt;=1.52)</formula>
    </cfRule>
    <cfRule type="expression" dxfId="468" priority="1258">
      <formula>AR27&gt;=1.82</formula>
    </cfRule>
  </conditionalFormatting>
  <conditionalFormatting sqref="AR37">
    <cfRule type="expression" dxfId="467" priority="1172">
      <formula>AND(AR37&lt;1.52,AR37&gt;=1.02)</formula>
    </cfRule>
    <cfRule type="expression" dxfId="466" priority="1173">
      <formula>AND(AR37&lt;1.82,AR37&gt;=1.52)</formula>
    </cfRule>
    <cfRule type="expression" dxfId="465" priority="1174">
      <formula>AR37&gt;=1.82</formula>
    </cfRule>
  </conditionalFormatting>
  <conditionalFormatting sqref="AR46">
    <cfRule type="expression" dxfId="464" priority="40">
      <formula>AND(AR46&lt;1.52,AR46&gt;=1.02)</formula>
    </cfRule>
    <cfRule type="expression" dxfId="463" priority="41">
      <formula>AND(AR46&lt;1.82,AR46&gt;=1.52)</formula>
    </cfRule>
    <cfRule type="expression" dxfId="462" priority="42">
      <formula>AR46&gt;=1.82</formula>
    </cfRule>
  </conditionalFormatting>
  <conditionalFormatting sqref="AR50">
    <cfRule type="expression" dxfId="458" priority="836">
      <formula>AND(AR50&lt;1.52,AR50&gt;=1.02)</formula>
    </cfRule>
    <cfRule type="expression" dxfId="457" priority="837">
      <formula>AND(AR50&lt;1.82,AR50&gt;=1.52)</formula>
    </cfRule>
    <cfRule type="expression" dxfId="456" priority="838">
      <formula>AR50&gt;=1.82</formula>
    </cfRule>
  </conditionalFormatting>
  <conditionalFormatting sqref="AR53">
    <cfRule type="expression" dxfId="455" priority="752">
      <formula>AND(AR53&lt;1.52,AR53&gt;=1.02)</formula>
    </cfRule>
    <cfRule type="expression" dxfId="454" priority="753">
      <formula>AND(AR53&lt;1.82,AR53&gt;=1.52)</formula>
    </cfRule>
    <cfRule type="expression" dxfId="453" priority="754">
      <formula>AR53&gt;=1.82</formula>
    </cfRule>
  </conditionalFormatting>
  <conditionalFormatting sqref="AR59">
    <cfRule type="expression" dxfId="452" priority="416">
      <formula>AND(AR59&lt;1.52,AR59&gt;=1.02)</formula>
    </cfRule>
    <cfRule type="expression" dxfId="451" priority="417">
      <formula>AND(AR59&lt;1.82,AR59&gt;=1.52)</formula>
    </cfRule>
    <cfRule type="expression" dxfId="450" priority="418">
      <formula>AR59&gt;=1.82</formula>
    </cfRule>
  </conditionalFormatting>
  <conditionalFormatting sqref="AR64">
    <cfRule type="expression" dxfId="449" priority="329">
      <formula>AND(AR64&lt;1.52,AR64&gt;=1.02)</formula>
    </cfRule>
    <cfRule type="expression" dxfId="448" priority="330">
      <formula>AND(AR64&lt;1.82,AR64&gt;=1.52)</formula>
    </cfRule>
    <cfRule type="expression" dxfId="447" priority="331">
      <formula>AR64&gt;=1.82</formula>
    </cfRule>
  </conditionalFormatting>
  <conditionalFormatting sqref="AR67">
    <cfRule type="expression" dxfId="446" priority="1541">
      <formula>AND(AR67&lt;1.52,AR67&gt;=1.02)</formula>
    </cfRule>
    <cfRule type="expression" dxfId="445" priority="1542">
      <formula>AND(AR67&lt;1.82,AR67&gt;=1.52)</formula>
    </cfRule>
    <cfRule type="expression" dxfId="444" priority="1543">
      <formula>AR67&gt;=1.82</formula>
    </cfRule>
  </conditionalFormatting>
  <conditionalFormatting sqref="AR70">
    <cfRule type="expression" dxfId="443" priority="245">
      <formula>AND(AR70&lt;1.52,AR70&gt;=1.02)</formula>
    </cfRule>
    <cfRule type="expression" dxfId="442" priority="246">
      <formula>AND(AR70&lt;1.82,AR70&gt;=1.52)</formula>
    </cfRule>
    <cfRule type="expression" dxfId="441" priority="247">
      <formula>AR70&gt;=1.82</formula>
    </cfRule>
  </conditionalFormatting>
  <conditionalFormatting sqref="AU15">
    <cfRule type="expression" dxfId="440" priority="1337">
      <formula>AND(AU15&lt;1.52,AU15&gt;=1.02)</formula>
    </cfRule>
    <cfRule type="expression" dxfId="439" priority="1338">
      <formula>AND(AU15&lt;1.82,AU15&gt;=1.52)</formula>
    </cfRule>
    <cfRule type="expression" dxfId="438" priority="1339">
      <formula>AU15&gt;=1.82</formula>
    </cfRule>
  </conditionalFormatting>
  <conditionalFormatting sqref="AU27">
    <cfRule type="expression" dxfId="437" priority="1253">
      <formula>AND(AU27&lt;1.52,AU27&gt;=1.02)</formula>
    </cfRule>
    <cfRule type="expression" dxfId="436" priority="1254">
      <formula>AND(AU27&lt;1.82,AU27&gt;=1.52)</formula>
    </cfRule>
    <cfRule type="expression" dxfId="435" priority="1255">
      <formula>AU27&gt;=1.82</formula>
    </cfRule>
  </conditionalFormatting>
  <conditionalFormatting sqref="AU37">
    <cfRule type="expression" dxfId="434" priority="1169">
      <formula>AND(AU37&lt;1.52,AU37&gt;=1.02)</formula>
    </cfRule>
    <cfRule type="expression" dxfId="433" priority="1170">
      <formula>AND(AU37&lt;1.82,AU37&gt;=1.52)</formula>
    </cfRule>
    <cfRule type="expression" dxfId="432" priority="1171">
      <formula>AU37&gt;=1.82</formula>
    </cfRule>
  </conditionalFormatting>
  <conditionalFormatting sqref="AU46">
    <cfRule type="expression" dxfId="431" priority="37">
      <formula>AND(AU46&lt;1.52,AU46&gt;=1.02)</formula>
    </cfRule>
    <cfRule type="expression" dxfId="430" priority="38">
      <formula>AND(AU46&lt;1.82,AU46&gt;=1.52)</formula>
    </cfRule>
    <cfRule type="expression" dxfId="429" priority="39">
      <formula>AU46&gt;=1.82</formula>
    </cfRule>
  </conditionalFormatting>
  <conditionalFormatting sqref="AU50">
    <cfRule type="expression" dxfId="425" priority="833">
      <formula>AND(AU50&lt;1.52,AU50&gt;=1.02)</formula>
    </cfRule>
    <cfRule type="expression" dxfId="424" priority="834">
      <formula>AND(AU50&lt;1.82,AU50&gt;=1.52)</formula>
    </cfRule>
    <cfRule type="expression" dxfId="423" priority="835">
      <formula>AU50&gt;=1.82</formula>
    </cfRule>
  </conditionalFormatting>
  <conditionalFormatting sqref="AU53">
    <cfRule type="expression" dxfId="422" priority="749">
      <formula>AND(AU53&lt;1.52,AU53&gt;=1.02)</formula>
    </cfRule>
    <cfRule type="expression" dxfId="421" priority="750">
      <formula>AND(AU53&lt;1.82,AU53&gt;=1.52)</formula>
    </cfRule>
    <cfRule type="expression" dxfId="420" priority="751">
      <formula>AU53&gt;=1.82</formula>
    </cfRule>
  </conditionalFormatting>
  <conditionalFormatting sqref="AU59">
    <cfRule type="expression" dxfId="419" priority="413">
      <formula>AND(AU59&lt;1.52,AU59&gt;=1.02)</formula>
    </cfRule>
    <cfRule type="expression" dxfId="418" priority="414">
      <formula>AND(AU59&lt;1.82,AU59&gt;=1.52)</formula>
    </cfRule>
    <cfRule type="expression" dxfId="417" priority="415">
      <formula>AU59&gt;=1.82</formula>
    </cfRule>
  </conditionalFormatting>
  <conditionalFormatting sqref="AU64">
    <cfRule type="expression" dxfId="416" priority="326">
      <formula>AND(AU64&lt;1.52,AU64&gt;=1.02)</formula>
    </cfRule>
    <cfRule type="expression" dxfId="415" priority="327">
      <formula>AND(AU64&lt;1.82,AU64&gt;=1.52)</formula>
    </cfRule>
    <cfRule type="expression" dxfId="414" priority="328">
      <formula>AU64&gt;=1.82</formula>
    </cfRule>
  </conditionalFormatting>
  <conditionalFormatting sqref="AU67">
    <cfRule type="expression" dxfId="413" priority="1538">
      <formula>AND(AU67&lt;1.52,AU67&gt;=1.02)</formula>
    </cfRule>
    <cfRule type="expression" dxfId="412" priority="1539">
      <formula>AND(AU67&lt;1.82,AU67&gt;=1.52)</formula>
    </cfRule>
    <cfRule type="expression" dxfId="411" priority="1540">
      <formula>AU67&gt;=1.82</formula>
    </cfRule>
  </conditionalFormatting>
  <conditionalFormatting sqref="AU70">
    <cfRule type="expression" dxfId="410" priority="242">
      <formula>AND(AU70&lt;1.52,AU70&gt;=1.02)</formula>
    </cfRule>
    <cfRule type="expression" dxfId="409" priority="243">
      <formula>AND(AU70&lt;1.82,AU70&gt;=1.52)</formula>
    </cfRule>
    <cfRule type="expression" dxfId="408" priority="244">
      <formula>AU70&gt;=1.82</formula>
    </cfRule>
  </conditionalFormatting>
  <conditionalFormatting sqref="AX15">
    <cfRule type="expression" dxfId="407" priority="1334">
      <formula>AND(AX15&lt;1.52,AX15&gt;=1.02)</formula>
    </cfRule>
    <cfRule type="expression" dxfId="406" priority="1335">
      <formula>AND(AX15&lt;1.82,AX15&gt;=1.52)</formula>
    </cfRule>
    <cfRule type="expression" dxfId="405" priority="1336">
      <formula>AX15&gt;=1.82</formula>
    </cfRule>
  </conditionalFormatting>
  <conditionalFormatting sqref="AX27">
    <cfRule type="expression" dxfId="404" priority="1250">
      <formula>AND(AX27&lt;1.52,AX27&gt;=1.02)</formula>
    </cfRule>
    <cfRule type="expression" dxfId="403" priority="1251">
      <formula>AND(AX27&lt;1.82,AX27&gt;=1.52)</formula>
    </cfRule>
    <cfRule type="expression" dxfId="402" priority="1252">
      <formula>AX27&gt;=1.82</formula>
    </cfRule>
  </conditionalFormatting>
  <conditionalFormatting sqref="AX37">
    <cfRule type="expression" dxfId="401" priority="1166">
      <formula>AND(AX37&lt;1.52,AX37&gt;=1.02)</formula>
    </cfRule>
    <cfRule type="expression" dxfId="400" priority="1167">
      <formula>AND(AX37&lt;1.82,AX37&gt;=1.52)</formula>
    </cfRule>
    <cfRule type="expression" dxfId="399" priority="1168">
      <formula>AX37&gt;=1.82</formula>
    </cfRule>
  </conditionalFormatting>
  <conditionalFormatting sqref="AX46">
    <cfRule type="expression" dxfId="398" priority="34">
      <formula>AND(AX46&lt;1.52,AX46&gt;=1.02)</formula>
    </cfRule>
    <cfRule type="expression" dxfId="397" priority="35">
      <formula>AND(AX46&lt;1.82,AX46&gt;=1.52)</formula>
    </cfRule>
    <cfRule type="expression" dxfId="396" priority="36">
      <formula>AX46&gt;=1.82</formula>
    </cfRule>
  </conditionalFormatting>
  <conditionalFormatting sqref="AX50">
    <cfRule type="expression" dxfId="392" priority="830">
      <formula>AND(AX50&lt;1.52,AX50&gt;=1.02)</formula>
    </cfRule>
    <cfRule type="expression" dxfId="391" priority="831">
      <formula>AND(AX50&lt;1.82,AX50&gt;=1.52)</formula>
    </cfRule>
    <cfRule type="expression" dxfId="390" priority="832">
      <formula>AX50&gt;=1.82</formula>
    </cfRule>
  </conditionalFormatting>
  <conditionalFormatting sqref="AX53">
    <cfRule type="expression" dxfId="389" priority="746">
      <formula>AND(AX53&lt;1.52,AX53&gt;=1.02)</formula>
    </cfRule>
    <cfRule type="expression" dxfId="388" priority="747">
      <formula>AND(AX53&lt;1.82,AX53&gt;=1.52)</formula>
    </cfRule>
    <cfRule type="expression" dxfId="387" priority="748">
      <formula>AX53&gt;=1.82</formula>
    </cfRule>
  </conditionalFormatting>
  <conditionalFormatting sqref="AX59">
    <cfRule type="expression" dxfId="386" priority="410">
      <formula>AND(AX59&lt;1.52,AX59&gt;=1.02)</formula>
    </cfRule>
    <cfRule type="expression" dxfId="385" priority="411">
      <formula>AND(AX59&lt;1.82,AX59&gt;=1.52)</formula>
    </cfRule>
    <cfRule type="expression" dxfId="384" priority="412">
      <formula>AX59&gt;=1.82</formula>
    </cfRule>
  </conditionalFormatting>
  <conditionalFormatting sqref="AX64">
    <cfRule type="expression" dxfId="383" priority="323">
      <formula>AND(AX64&lt;1.52,AX64&gt;=1.02)</formula>
    </cfRule>
    <cfRule type="expression" dxfId="382" priority="324">
      <formula>AND(AX64&lt;1.82,AX64&gt;=1.52)</formula>
    </cfRule>
    <cfRule type="expression" dxfId="381" priority="325">
      <formula>AX64&gt;=1.82</formula>
    </cfRule>
  </conditionalFormatting>
  <conditionalFormatting sqref="AX67">
    <cfRule type="expression" dxfId="380" priority="1535">
      <formula>AND(AX67&lt;1.52,AX67&gt;=1.02)</formula>
    </cfRule>
    <cfRule type="expression" dxfId="379" priority="1536">
      <formula>AND(AX67&lt;1.82,AX67&gt;=1.52)</formula>
    </cfRule>
    <cfRule type="expression" dxfId="378" priority="1537">
      <formula>AX67&gt;=1.82</formula>
    </cfRule>
  </conditionalFormatting>
  <conditionalFormatting sqref="AX70">
    <cfRule type="expression" dxfId="377" priority="239">
      <formula>AND(AX70&lt;1.52,AX70&gt;=1.02)</formula>
    </cfRule>
    <cfRule type="expression" dxfId="376" priority="240">
      <formula>AND(AX70&lt;1.82,AX70&gt;=1.52)</formula>
    </cfRule>
    <cfRule type="expression" dxfId="375" priority="241">
      <formula>AX70&gt;=1.82</formula>
    </cfRule>
  </conditionalFormatting>
  <conditionalFormatting sqref="BA15">
    <cfRule type="expression" dxfId="374" priority="1331">
      <formula>AND(BA15&lt;1.52,BA15&gt;=1.02)</formula>
    </cfRule>
    <cfRule type="expression" dxfId="373" priority="1332">
      <formula>AND(BA15&lt;1.82,BA15&gt;=1.52)</formula>
    </cfRule>
    <cfRule type="expression" dxfId="372" priority="1333">
      <formula>BA15&gt;=1.82</formula>
    </cfRule>
  </conditionalFormatting>
  <conditionalFormatting sqref="BA27">
    <cfRule type="expression" dxfId="371" priority="1247">
      <formula>AND(BA27&lt;1.52,BA27&gt;=1.02)</formula>
    </cfRule>
    <cfRule type="expression" dxfId="370" priority="1248">
      <formula>AND(BA27&lt;1.82,BA27&gt;=1.52)</formula>
    </cfRule>
    <cfRule type="expression" dxfId="369" priority="1249">
      <formula>BA27&gt;=1.82</formula>
    </cfRule>
  </conditionalFormatting>
  <conditionalFormatting sqref="BA37">
    <cfRule type="expression" dxfId="368" priority="1163">
      <formula>AND(BA37&lt;1.52,BA37&gt;=1.02)</formula>
    </cfRule>
    <cfRule type="expression" dxfId="367" priority="1164">
      <formula>AND(BA37&lt;1.82,BA37&gt;=1.52)</formula>
    </cfRule>
    <cfRule type="expression" dxfId="366" priority="1165">
      <formula>BA37&gt;=1.82</formula>
    </cfRule>
  </conditionalFormatting>
  <conditionalFormatting sqref="BA46">
    <cfRule type="expression" dxfId="365" priority="31">
      <formula>AND(BA46&lt;1.52,BA46&gt;=1.02)</formula>
    </cfRule>
    <cfRule type="expression" dxfId="364" priority="32">
      <formula>AND(BA46&lt;1.82,BA46&gt;=1.52)</formula>
    </cfRule>
    <cfRule type="expression" dxfId="363" priority="33">
      <formula>BA46&gt;=1.82</formula>
    </cfRule>
  </conditionalFormatting>
  <conditionalFormatting sqref="BA50">
    <cfRule type="expression" dxfId="359" priority="827">
      <formula>AND(BA50&lt;1.52,BA50&gt;=1.02)</formula>
    </cfRule>
    <cfRule type="expression" dxfId="358" priority="828">
      <formula>AND(BA50&lt;1.82,BA50&gt;=1.52)</formula>
    </cfRule>
    <cfRule type="expression" dxfId="357" priority="829">
      <formula>BA50&gt;=1.82</formula>
    </cfRule>
  </conditionalFormatting>
  <conditionalFormatting sqref="BA53">
    <cfRule type="expression" dxfId="356" priority="743">
      <formula>AND(BA53&lt;1.52,BA53&gt;=1.02)</formula>
    </cfRule>
    <cfRule type="expression" dxfId="355" priority="744">
      <formula>AND(BA53&lt;1.82,BA53&gt;=1.52)</formula>
    </cfRule>
    <cfRule type="expression" dxfId="354" priority="745">
      <formula>BA53&gt;=1.82</formula>
    </cfRule>
  </conditionalFormatting>
  <conditionalFormatting sqref="BA59">
    <cfRule type="expression" dxfId="353" priority="407">
      <formula>AND(BA59&lt;1.52,BA59&gt;=1.02)</formula>
    </cfRule>
    <cfRule type="expression" dxfId="352" priority="408">
      <formula>AND(BA59&lt;1.82,BA59&gt;=1.52)</formula>
    </cfRule>
    <cfRule type="expression" dxfId="351" priority="409">
      <formula>BA59&gt;=1.82</formula>
    </cfRule>
  </conditionalFormatting>
  <conditionalFormatting sqref="BA64">
    <cfRule type="expression" dxfId="350" priority="320">
      <formula>AND(BA64&lt;1.52,BA64&gt;=1.02)</formula>
    </cfRule>
    <cfRule type="expression" dxfId="349" priority="321">
      <formula>AND(BA64&lt;1.82,BA64&gt;=1.52)</formula>
    </cfRule>
    <cfRule type="expression" dxfId="348" priority="322">
      <formula>BA64&gt;=1.82</formula>
    </cfRule>
  </conditionalFormatting>
  <conditionalFormatting sqref="BA67">
    <cfRule type="expression" dxfId="347" priority="1532">
      <formula>AND(BA67&lt;1.52,BA67&gt;=1.02)</formula>
    </cfRule>
    <cfRule type="expression" dxfId="346" priority="1533">
      <formula>AND(BA67&lt;1.82,BA67&gt;=1.52)</formula>
    </cfRule>
    <cfRule type="expression" dxfId="345" priority="1534">
      <formula>BA67&gt;=1.82</formula>
    </cfRule>
  </conditionalFormatting>
  <conditionalFormatting sqref="BA70">
    <cfRule type="expression" dxfId="344" priority="236">
      <formula>AND(BA70&lt;1.52,BA70&gt;=1.02)</formula>
    </cfRule>
    <cfRule type="expression" dxfId="343" priority="237">
      <formula>AND(BA70&lt;1.82,BA70&gt;=1.52)</formula>
    </cfRule>
    <cfRule type="expression" dxfId="342" priority="238">
      <formula>BA70&gt;=1.82</formula>
    </cfRule>
  </conditionalFormatting>
  <conditionalFormatting sqref="BD15">
    <cfRule type="expression" dxfId="341" priority="1325">
      <formula>AND(BD15&lt;1.52,BD15&gt;=1.02)</formula>
    </cfRule>
    <cfRule type="expression" dxfId="340" priority="1326">
      <formula>AND(BD15&lt;1.82,BD15&gt;=1.52)</formula>
    </cfRule>
    <cfRule type="expression" dxfId="339" priority="1327">
      <formula>BD15&gt;=1.82</formula>
    </cfRule>
  </conditionalFormatting>
  <conditionalFormatting sqref="BD27">
    <cfRule type="expression" dxfId="338" priority="1241">
      <formula>AND(BD27&lt;1.52,BD27&gt;=1.02)</formula>
    </cfRule>
    <cfRule type="expression" dxfId="337" priority="1242">
      <formula>AND(BD27&lt;1.82,BD27&gt;=1.52)</formula>
    </cfRule>
    <cfRule type="expression" dxfId="336" priority="1243">
      <formula>BD27&gt;=1.82</formula>
    </cfRule>
  </conditionalFormatting>
  <conditionalFormatting sqref="BD37">
    <cfRule type="expression" dxfId="335" priority="1157">
      <formula>AND(BD37&lt;1.52,BD37&gt;=1.02)</formula>
    </cfRule>
    <cfRule type="expression" dxfId="334" priority="1158">
      <formula>AND(BD37&lt;1.82,BD37&gt;=1.52)</formula>
    </cfRule>
    <cfRule type="expression" dxfId="333" priority="1159">
      <formula>BD37&gt;=1.82</formula>
    </cfRule>
  </conditionalFormatting>
  <conditionalFormatting sqref="BD46">
    <cfRule type="expression" dxfId="332" priority="28">
      <formula>AND(BD46&lt;1.52,BD46&gt;=1.02)</formula>
    </cfRule>
    <cfRule type="expression" dxfId="331" priority="29">
      <formula>AND(BD46&lt;1.82,BD46&gt;=1.52)</formula>
    </cfRule>
    <cfRule type="expression" dxfId="330" priority="30">
      <formula>BD46&gt;=1.82</formula>
    </cfRule>
  </conditionalFormatting>
  <conditionalFormatting sqref="BD50">
    <cfRule type="expression" dxfId="326" priority="821">
      <formula>AND(BD50&lt;1.52,BD50&gt;=1.02)</formula>
    </cfRule>
    <cfRule type="expression" dxfId="325" priority="822">
      <formula>AND(BD50&lt;1.82,BD50&gt;=1.52)</formula>
    </cfRule>
    <cfRule type="expression" dxfId="324" priority="823">
      <formula>BD50&gt;=1.82</formula>
    </cfRule>
  </conditionalFormatting>
  <conditionalFormatting sqref="BD53">
    <cfRule type="expression" dxfId="323" priority="737">
      <formula>AND(BD53&lt;1.52,BD53&gt;=1.02)</formula>
    </cfRule>
    <cfRule type="expression" dxfId="322" priority="738">
      <formula>AND(BD53&lt;1.82,BD53&gt;=1.52)</formula>
    </cfRule>
    <cfRule type="expression" dxfId="321" priority="739">
      <formula>BD53&gt;=1.82</formula>
    </cfRule>
  </conditionalFormatting>
  <conditionalFormatting sqref="BD59">
    <cfRule type="expression" dxfId="320" priority="404">
      <formula>AND(BD59&lt;1.52,BD59&gt;=1.02)</formula>
    </cfRule>
    <cfRule type="expression" dxfId="319" priority="405">
      <formula>AND(BD59&lt;1.82,BD59&gt;=1.52)</formula>
    </cfRule>
    <cfRule type="expression" dxfId="318" priority="406">
      <formula>BD59&gt;=1.82</formula>
    </cfRule>
  </conditionalFormatting>
  <conditionalFormatting sqref="BD64">
    <cfRule type="expression" dxfId="317" priority="317">
      <formula>AND(BD64&lt;1.52,BD64&gt;=1.02)</formula>
    </cfRule>
    <cfRule type="expression" dxfId="316" priority="318">
      <formula>AND(BD64&lt;1.82,BD64&gt;=1.52)</formula>
    </cfRule>
    <cfRule type="expression" dxfId="315" priority="319">
      <formula>BD64&gt;=1.82</formula>
    </cfRule>
  </conditionalFormatting>
  <conditionalFormatting sqref="BD67">
    <cfRule type="expression" dxfId="314" priority="1526">
      <formula>AND(BD67&lt;1.52,BD67&gt;=1.02)</formula>
    </cfRule>
    <cfRule type="expression" dxfId="313" priority="1527">
      <formula>AND(BD67&lt;1.82,BD67&gt;=1.52)</formula>
    </cfRule>
    <cfRule type="expression" dxfId="312" priority="1528">
      <formula>BD67&gt;=1.82</formula>
    </cfRule>
  </conditionalFormatting>
  <conditionalFormatting sqref="BD70">
    <cfRule type="expression" dxfId="311" priority="233">
      <formula>AND(BD70&lt;1.52,BD70&gt;=1.02)</formula>
    </cfRule>
    <cfRule type="expression" dxfId="310" priority="234">
      <formula>AND(BD70&lt;1.82,BD70&gt;=1.52)</formula>
    </cfRule>
    <cfRule type="expression" dxfId="309" priority="235">
      <formula>BD70&gt;=1.82</formula>
    </cfRule>
  </conditionalFormatting>
  <conditionalFormatting sqref="BG15">
    <cfRule type="expression" dxfId="308" priority="1322">
      <formula>AND(BG15&lt;1.52,BG15&gt;=1.02)</formula>
    </cfRule>
    <cfRule type="expression" dxfId="307" priority="1323">
      <formula>AND(BG15&lt;1.82,BG15&gt;=1.52)</formula>
    </cfRule>
    <cfRule type="expression" dxfId="306" priority="1324">
      <formula>BG15&gt;=1.82</formula>
    </cfRule>
  </conditionalFormatting>
  <conditionalFormatting sqref="BG27">
    <cfRule type="expression" dxfId="305" priority="1238">
      <formula>AND(BG27&lt;1.52,BG27&gt;=1.02)</formula>
    </cfRule>
    <cfRule type="expression" dxfId="304" priority="1239">
      <formula>AND(BG27&lt;1.82,BG27&gt;=1.52)</formula>
    </cfRule>
    <cfRule type="expression" dxfId="303" priority="1240">
      <formula>BG27&gt;=1.82</formula>
    </cfRule>
  </conditionalFormatting>
  <conditionalFormatting sqref="BG37">
    <cfRule type="expression" dxfId="302" priority="1154">
      <formula>AND(BG37&lt;1.52,BG37&gt;=1.02)</formula>
    </cfRule>
    <cfRule type="expression" dxfId="301" priority="1155">
      <formula>AND(BG37&lt;1.82,BG37&gt;=1.52)</formula>
    </cfRule>
    <cfRule type="expression" dxfId="300" priority="1156">
      <formula>BG37&gt;=1.82</formula>
    </cfRule>
  </conditionalFormatting>
  <conditionalFormatting sqref="BG46">
    <cfRule type="expression" dxfId="299" priority="25">
      <formula>AND(BG46&lt;1.52,BG46&gt;=1.02)</formula>
    </cfRule>
    <cfRule type="expression" dxfId="298" priority="26">
      <formula>AND(BG46&lt;1.82,BG46&gt;=1.52)</formula>
    </cfRule>
    <cfRule type="expression" dxfId="297" priority="27">
      <formula>BG46&gt;=1.82</formula>
    </cfRule>
  </conditionalFormatting>
  <conditionalFormatting sqref="BG50">
    <cfRule type="expression" dxfId="293" priority="818">
      <formula>AND(BG50&lt;1.52,BG50&gt;=1.02)</formula>
    </cfRule>
    <cfRule type="expression" dxfId="292" priority="819">
      <formula>AND(BG50&lt;1.82,BG50&gt;=1.52)</formula>
    </cfRule>
    <cfRule type="expression" dxfId="291" priority="820">
      <formula>BG50&gt;=1.82</formula>
    </cfRule>
  </conditionalFormatting>
  <conditionalFormatting sqref="BG53">
    <cfRule type="expression" dxfId="290" priority="734">
      <formula>AND(BG53&lt;1.52,BG53&gt;=1.02)</formula>
    </cfRule>
    <cfRule type="expression" dxfId="289" priority="735">
      <formula>AND(BG53&lt;1.82,BG53&gt;=1.52)</formula>
    </cfRule>
    <cfRule type="expression" dxfId="288" priority="736">
      <formula>BG53&gt;=1.82</formula>
    </cfRule>
  </conditionalFormatting>
  <conditionalFormatting sqref="BG59">
    <cfRule type="expression" dxfId="287" priority="401">
      <formula>AND(BG59&lt;1.52,BG59&gt;=1.02)</formula>
    </cfRule>
    <cfRule type="expression" dxfId="286" priority="402">
      <formula>AND(BG59&lt;1.82,BG59&gt;=1.52)</formula>
    </cfRule>
    <cfRule type="expression" dxfId="285" priority="403">
      <formula>BG59&gt;=1.82</formula>
    </cfRule>
  </conditionalFormatting>
  <conditionalFormatting sqref="BG64">
    <cfRule type="expression" dxfId="284" priority="314">
      <formula>AND(BG64&lt;1.52,BG64&gt;=1.02)</formula>
    </cfRule>
    <cfRule type="expression" dxfId="283" priority="315">
      <formula>AND(BG64&lt;1.82,BG64&gt;=1.52)</formula>
    </cfRule>
    <cfRule type="expression" dxfId="282" priority="316">
      <formula>BG64&gt;=1.82</formula>
    </cfRule>
  </conditionalFormatting>
  <conditionalFormatting sqref="BG67">
    <cfRule type="expression" dxfId="281" priority="1523">
      <formula>AND(BG67&lt;1.52,BG67&gt;=1.02)</formula>
    </cfRule>
    <cfRule type="expression" dxfId="280" priority="1524">
      <formula>AND(BG67&lt;1.82,BG67&gt;=1.52)</formula>
    </cfRule>
    <cfRule type="expression" dxfId="279" priority="1525">
      <formula>BG67&gt;=1.82</formula>
    </cfRule>
  </conditionalFormatting>
  <conditionalFormatting sqref="BG70">
    <cfRule type="expression" dxfId="278" priority="230">
      <formula>AND(BG70&lt;1.52,BG70&gt;=1.02)</formula>
    </cfRule>
    <cfRule type="expression" dxfId="277" priority="231">
      <formula>AND(BG70&lt;1.82,BG70&gt;=1.52)</formula>
    </cfRule>
    <cfRule type="expression" dxfId="276" priority="232">
      <formula>BG70&gt;=1.82</formula>
    </cfRule>
  </conditionalFormatting>
  <conditionalFormatting sqref="BJ15">
    <cfRule type="expression" dxfId="275" priority="109">
      <formula>AND(BJ15&lt;1.52,BJ15&gt;=1.02)</formula>
    </cfRule>
    <cfRule type="expression" dxfId="274" priority="110">
      <formula>AND(BJ15&lt;1.82,BJ15&gt;=1.52)</formula>
    </cfRule>
    <cfRule type="expression" dxfId="273" priority="111">
      <formula>BJ15&gt;=1.82</formula>
    </cfRule>
  </conditionalFormatting>
  <conditionalFormatting sqref="BJ27">
    <cfRule type="expression" dxfId="272" priority="106">
      <formula>AND(BJ27&lt;1.52,BJ27&gt;=1.02)</formula>
    </cfRule>
    <cfRule type="expression" dxfId="271" priority="107">
      <formula>AND(BJ27&lt;1.82,BJ27&gt;=1.52)</formula>
    </cfRule>
    <cfRule type="expression" dxfId="270" priority="108">
      <formula>BJ27&gt;=1.82</formula>
    </cfRule>
  </conditionalFormatting>
  <conditionalFormatting sqref="BJ37">
    <cfRule type="expression" dxfId="269" priority="103">
      <formula>AND(BJ37&lt;1.52,BJ37&gt;=1.02)</formula>
    </cfRule>
    <cfRule type="expression" dxfId="268" priority="104">
      <formula>AND(BJ37&lt;1.82,BJ37&gt;=1.52)</formula>
    </cfRule>
    <cfRule type="expression" dxfId="267" priority="105">
      <formula>BJ37&gt;=1.82</formula>
    </cfRule>
  </conditionalFormatting>
  <conditionalFormatting sqref="BJ46">
    <cfRule type="expression" dxfId="266" priority="1">
      <formula>AND(BJ46&lt;1.52,BJ46&gt;=1.02)</formula>
    </cfRule>
    <cfRule type="expression" dxfId="265" priority="2">
      <formula>AND(BJ46&lt;1.82,BJ46&gt;=1.52)</formula>
    </cfRule>
    <cfRule type="expression" dxfId="264" priority="3">
      <formula>BJ46&gt;=1.82</formula>
    </cfRule>
  </conditionalFormatting>
  <conditionalFormatting sqref="BJ50">
    <cfRule type="expression" dxfId="260" priority="97">
      <formula>AND(BJ50&lt;1.52,BJ50&gt;=1.02)</formula>
    </cfRule>
    <cfRule type="expression" dxfId="259" priority="98">
      <formula>AND(BJ50&lt;1.82,BJ50&gt;=1.52)</formula>
    </cfRule>
    <cfRule type="expression" dxfId="258" priority="99">
      <formula>BJ50&gt;=1.82</formula>
    </cfRule>
  </conditionalFormatting>
  <conditionalFormatting sqref="BJ53">
    <cfRule type="expression" dxfId="257" priority="94">
      <formula>AND(BJ53&lt;1.52,BJ53&gt;=1.02)</formula>
    </cfRule>
    <cfRule type="expression" dxfId="256" priority="95">
      <formula>AND(BJ53&lt;1.82,BJ53&gt;=1.52)</formula>
    </cfRule>
    <cfRule type="expression" dxfId="255" priority="96">
      <formula>BJ53&gt;=1.82</formula>
    </cfRule>
  </conditionalFormatting>
  <conditionalFormatting sqref="BJ56 BJ61">
    <cfRule type="expression" dxfId="254" priority="112">
      <formula>AND(BJ56&lt;1.52,BJ56&gt;=1.02)</formula>
    </cfRule>
    <cfRule type="expression" dxfId="253" priority="113">
      <formula>AND(BJ56&lt;1.82,BJ56&gt;=1.52)</formula>
    </cfRule>
    <cfRule type="expression" dxfId="252" priority="114">
      <formula>BJ56&gt;=1.82</formula>
    </cfRule>
  </conditionalFormatting>
  <conditionalFormatting sqref="BJ59">
    <cfRule type="expression" dxfId="251" priority="91">
      <formula>AND(BJ59&lt;1.52,BJ59&gt;=1.02)</formula>
    </cfRule>
    <cfRule type="expression" dxfId="250" priority="92">
      <formula>AND(BJ59&lt;1.82,BJ59&gt;=1.52)</formula>
    </cfRule>
    <cfRule type="expression" dxfId="249" priority="93">
      <formula>BJ59&gt;=1.82</formula>
    </cfRule>
  </conditionalFormatting>
  <conditionalFormatting sqref="BJ64">
    <cfRule type="expression" dxfId="248" priority="88">
      <formula>AND(BJ64&lt;1.52,BJ64&gt;=1.02)</formula>
    </cfRule>
    <cfRule type="expression" dxfId="247" priority="89">
      <formula>AND(BJ64&lt;1.82,BJ64&gt;=1.52)</formula>
    </cfRule>
    <cfRule type="expression" dxfId="246" priority="90">
      <formula>BJ64&gt;=1.82</formula>
    </cfRule>
  </conditionalFormatting>
  <conditionalFormatting sqref="BJ67">
    <cfRule type="expression" dxfId="245" priority="115">
      <formula>AND(BJ67&lt;1.52,BJ67&gt;=1.02)</formula>
    </cfRule>
    <cfRule type="expression" dxfId="244" priority="116">
      <formula>AND(BJ67&lt;1.82,BJ67&gt;=1.52)</formula>
    </cfRule>
    <cfRule type="expression" dxfId="243" priority="117">
      <formula>BJ67&gt;=1.82</formula>
    </cfRule>
  </conditionalFormatting>
  <conditionalFormatting sqref="BJ70">
    <cfRule type="expression" dxfId="242" priority="85">
      <formula>AND(BJ70&lt;1.52,BJ70&gt;=1.02)</formula>
    </cfRule>
    <cfRule type="expression" dxfId="241" priority="86">
      <formula>AND(BJ70&lt;1.82,BJ70&gt;=1.52)</formula>
    </cfRule>
    <cfRule type="expression" dxfId="240" priority="87">
      <formula>BJ70&gt;=1.82</formula>
    </cfRule>
  </conditionalFormatting>
  <conditionalFormatting sqref="BJ73:BJ75">
    <cfRule type="expression" dxfId="239" priority="82">
      <formula>AND(BJ73&lt;1.52,BJ73&gt;=1.02)</formula>
    </cfRule>
    <cfRule type="expression" dxfId="238" priority="83">
      <formula>AND(BJ73&lt;1.82,BJ73&gt;=1.52)</formula>
    </cfRule>
    <cfRule type="expression" dxfId="237" priority="84">
      <formula>BJ73&gt;=1.82</formula>
    </cfRule>
  </conditionalFormatting>
  <conditionalFormatting sqref="BM15">
    <cfRule type="expression" dxfId="236" priority="1316">
      <formula>AND(BM15&lt;1.52,BM15&gt;=1.02)</formula>
    </cfRule>
    <cfRule type="expression" dxfId="235" priority="1317">
      <formula>AND(BM15&lt;1.82,BM15&gt;=1.52)</formula>
    </cfRule>
    <cfRule type="expression" dxfId="234" priority="1318">
      <formula>BM15&gt;=1.82</formula>
    </cfRule>
  </conditionalFormatting>
  <conditionalFormatting sqref="BM27">
    <cfRule type="expression" dxfId="233" priority="1232">
      <formula>AND(BM27&lt;1.52,BM27&gt;=1.02)</formula>
    </cfRule>
    <cfRule type="expression" dxfId="232" priority="1233">
      <formula>AND(BM27&lt;1.82,BM27&gt;=1.52)</formula>
    </cfRule>
    <cfRule type="expression" dxfId="231" priority="1234">
      <formula>BM27&gt;=1.82</formula>
    </cfRule>
  </conditionalFormatting>
  <conditionalFormatting sqref="BM37">
    <cfRule type="expression" dxfId="230" priority="1148">
      <formula>AND(BM37&lt;1.52,BM37&gt;=1.02)</formula>
    </cfRule>
    <cfRule type="expression" dxfId="229" priority="1149">
      <formula>AND(BM37&lt;1.82,BM37&gt;=1.52)</formula>
    </cfRule>
    <cfRule type="expression" dxfId="228" priority="1150">
      <formula>BM37&gt;=1.82</formula>
    </cfRule>
  </conditionalFormatting>
  <conditionalFormatting sqref="BM46">
    <cfRule type="expression" dxfId="227" priority="22">
      <formula>AND(BM46&lt;1.52,BM46&gt;=1.02)</formula>
    </cfRule>
    <cfRule type="expression" dxfId="226" priority="23">
      <formula>AND(BM46&lt;1.82,BM46&gt;=1.52)</formula>
    </cfRule>
    <cfRule type="expression" dxfId="225" priority="24">
      <formula>BM46&gt;=1.82</formula>
    </cfRule>
  </conditionalFormatting>
  <conditionalFormatting sqref="BM50">
    <cfRule type="expression" dxfId="221" priority="812">
      <formula>AND(BM50&lt;1.52,BM50&gt;=1.02)</formula>
    </cfRule>
    <cfRule type="expression" dxfId="220" priority="813">
      <formula>AND(BM50&lt;1.82,BM50&gt;=1.52)</formula>
    </cfRule>
    <cfRule type="expression" dxfId="219" priority="814">
      <formula>BM50&gt;=1.82</formula>
    </cfRule>
  </conditionalFormatting>
  <conditionalFormatting sqref="BM53">
    <cfRule type="expression" dxfId="218" priority="728">
      <formula>AND(BM53&lt;1.52,BM53&gt;=1.02)</formula>
    </cfRule>
    <cfRule type="expression" dxfId="217" priority="729">
      <formula>AND(BM53&lt;1.82,BM53&gt;=1.52)</formula>
    </cfRule>
    <cfRule type="expression" dxfId="216" priority="730">
      <formula>BM53&gt;=1.82</formula>
    </cfRule>
  </conditionalFormatting>
  <conditionalFormatting sqref="BM59">
    <cfRule type="expression" dxfId="215" priority="395">
      <formula>AND(BM59&lt;1.52,BM59&gt;=1.02)</formula>
    </cfRule>
    <cfRule type="expression" dxfId="214" priority="396">
      <formula>AND(BM59&lt;1.82,BM59&gt;=1.52)</formula>
    </cfRule>
    <cfRule type="expression" dxfId="213" priority="397">
      <formula>BM59&gt;=1.82</formula>
    </cfRule>
  </conditionalFormatting>
  <conditionalFormatting sqref="BM64">
    <cfRule type="expression" dxfId="212" priority="308">
      <formula>AND(BM64&lt;1.52,BM64&gt;=1.02)</formula>
    </cfRule>
    <cfRule type="expression" dxfId="211" priority="309">
      <formula>AND(BM64&lt;1.82,BM64&gt;=1.52)</formula>
    </cfRule>
    <cfRule type="expression" dxfId="210" priority="310">
      <formula>BM64&gt;=1.82</formula>
    </cfRule>
  </conditionalFormatting>
  <conditionalFormatting sqref="BM67">
    <cfRule type="expression" dxfId="209" priority="1517">
      <formula>AND(BM67&lt;1.52,BM67&gt;=1.02)</formula>
    </cfRule>
    <cfRule type="expression" dxfId="208" priority="1518">
      <formula>AND(BM67&lt;1.82,BM67&gt;=1.52)</formula>
    </cfRule>
    <cfRule type="expression" dxfId="207" priority="1519">
      <formula>BM67&gt;=1.82</formula>
    </cfRule>
  </conditionalFormatting>
  <conditionalFormatting sqref="BM70">
    <cfRule type="expression" dxfId="206" priority="224">
      <formula>AND(BM70&lt;1.52,BM70&gt;=1.02)</formula>
    </cfRule>
    <cfRule type="expression" dxfId="205" priority="225">
      <formula>AND(BM70&lt;1.82,BM70&gt;=1.52)</formula>
    </cfRule>
    <cfRule type="expression" dxfId="204" priority="226">
      <formula>BM70&gt;=1.82</formula>
    </cfRule>
  </conditionalFormatting>
  <conditionalFormatting sqref="BP15">
    <cfRule type="expression" dxfId="203" priority="1313">
      <formula>AND(BP15&lt;1.52,BP15&gt;=1.02)</formula>
    </cfRule>
    <cfRule type="expression" dxfId="202" priority="1314">
      <formula>AND(BP15&lt;1.82,BP15&gt;=1.52)</formula>
    </cfRule>
    <cfRule type="expression" dxfId="201" priority="1315">
      <formula>BP15&gt;=1.82</formula>
    </cfRule>
  </conditionalFormatting>
  <conditionalFormatting sqref="BP27">
    <cfRule type="expression" dxfId="200" priority="1229">
      <formula>AND(BP27&lt;1.52,BP27&gt;=1.02)</formula>
    </cfRule>
    <cfRule type="expression" dxfId="199" priority="1230">
      <formula>AND(BP27&lt;1.82,BP27&gt;=1.52)</formula>
    </cfRule>
    <cfRule type="expression" dxfId="198" priority="1231">
      <formula>BP27&gt;=1.82</formula>
    </cfRule>
  </conditionalFormatting>
  <conditionalFormatting sqref="BP37">
    <cfRule type="expression" dxfId="197" priority="1145">
      <formula>AND(BP37&lt;1.52,BP37&gt;=1.02)</formula>
    </cfRule>
    <cfRule type="expression" dxfId="196" priority="1146">
      <formula>AND(BP37&lt;1.82,BP37&gt;=1.52)</formula>
    </cfRule>
    <cfRule type="expression" dxfId="195" priority="1147">
      <formula>BP37&gt;=1.82</formula>
    </cfRule>
  </conditionalFormatting>
  <conditionalFormatting sqref="BP46">
    <cfRule type="expression" dxfId="194" priority="19">
      <formula>AND(BP46&lt;1.52,BP46&gt;=1.02)</formula>
    </cfRule>
    <cfRule type="expression" dxfId="193" priority="20">
      <formula>AND(BP46&lt;1.82,BP46&gt;=1.52)</formula>
    </cfRule>
    <cfRule type="expression" dxfId="192" priority="21">
      <formula>BP46&gt;=1.82</formula>
    </cfRule>
  </conditionalFormatting>
  <conditionalFormatting sqref="BP50">
    <cfRule type="expression" dxfId="188" priority="809">
      <formula>AND(BP50&lt;1.52,BP50&gt;=1.02)</formula>
    </cfRule>
    <cfRule type="expression" dxfId="187" priority="810">
      <formula>AND(BP50&lt;1.82,BP50&gt;=1.52)</formula>
    </cfRule>
    <cfRule type="expression" dxfId="186" priority="811">
      <formula>BP50&gt;=1.82</formula>
    </cfRule>
  </conditionalFormatting>
  <conditionalFormatting sqref="BP53">
    <cfRule type="expression" dxfId="185" priority="725">
      <formula>AND(BP53&lt;1.52,BP53&gt;=1.02)</formula>
    </cfRule>
    <cfRule type="expression" dxfId="184" priority="726">
      <formula>AND(BP53&lt;1.82,BP53&gt;=1.52)</formula>
    </cfRule>
    <cfRule type="expression" dxfId="183" priority="727">
      <formula>BP53&gt;=1.82</formula>
    </cfRule>
  </conditionalFormatting>
  <conditionalFormatting sqref="BP59">
    <cfRule type="expression" dxfId="182" priority="392">
      <formula>AND(BP59&lt;1.52,BP59&gt;=1.02)</formula>
    </cfRule>
    <cfRule type="expression" dxfId="181" priority="393">
      <formula>AND(BP59&lt;1.82,BP59&gt;=1.52)</formula>
    </cfRule>
    <cfRule type="expression" dxfId="180" priority="394">
      <formula>BP59&gt;=1.82</formula>
    </cfRule>
  </conditionalFormatting>
  <conditionalFormatting sqref="BP64">
    <cfRule type="expression" dxfId="179" priority="305">
      <formula>AND(BP64&lt;1.52,BP64&gt;=1.02)</formula>
    </cfRule>
    <cfRule type="expression" dxfId="178" priority="306">
      <formula>AND(BP64&lt;1.82,BP64&gt;=1.52)</formula>
    </cfRule>
    <cfRule type="expression" dxfId="177" priority="307">
      <formula>BP64&gt;=1.82</formula>
    </cfRule>
  </conditionalFormatting>
  <conditionalFormatting sqref="BP67">
    <cfRule type="expression" dxfId="176" priority="1514">
      <formula>AND(BP67&lt;1.52,BP67&gt;=1.02)</formula>
    </cfRule>
    <cfRule type="expression" dxfId="175" priority="1515">
      <formula>AND(BP67&lt;1.82,BP67&gt;=1.52)</formula>
    </cfRule>
    <cfRule type="expression" dxfId="174" priority="1516">
      <formula>BP67&gt;=1.82</formula>
    </cfRule>
  </conditionalFormatting>
  <conditionalFormatting sqref="BP70">
    <cfRule type="expression" dxfId="173" priority="221">
      <formula>AND(BP70&lt;1.52,BP70&gt;=1.02)</formula>
    </cfRule>
    <cfRule type="expression" dxfId="172" priority="222">
      <formula>AND(BP70&lt;1.82,BP70&gt;=1.52)</formula>
    </cfRule>
    <cfRule type="expression" dxfId="171" priority="223">
      <formula>BP70&gt;=1.82</formula>
    </cfRule>
  </conditionalFormatting>
  <conditionalFormatting sqref="BS15">
    <cfRule type="expression" dxfId="170" priority="1310">
      <formula>AND(BS15&lt;1.52,BS15&gt;=1.02)</formula>
    </cfRule>
    <cfRule type="expression" dxfId="169" priority="1311">
      <formula>AND(BS15&lt;1.82,BS15&gt;=1.52)</formula>
    </cfRule>
    <cfRule type="expression" dxfId="168" priority="1312">
      <formula>BS15&gt;=1.82</formula>
    </cfRule>
  </conditionalFormatting>
  <conditionalFormatting sqref="BS27">
    <cfRule type="expression" dxfId="167" priority="1226">
      <formula>AND(BS27&lt;1.52,BS27&gt;=1.02)</formula>
    </cfRule>
    <cfRule type="expression" dxfId="166" priority="1227">
      <formula>AND(BS27&lt;1.82,BS27&gt;=1.52)</formula>
    </cfRule>
    <cfRule type="expression" dxfId="165" priority="1228">
      <formula>BS27&gt;=1.82</formula>
    </cfRule>
  </conditionalFormatting>
  <conditionalFormatting sqref="BS37">
    <cfRule type="expression" dxfId="164" priority="1142">
      <formula>AND(BS37&lt;1.52,BS37&gt;=1.02)</formula>
    </cfRule>
    <cfRule type="expression" dxfId="163" priority="1143">
      <formula>AND(BS37&lt;1.82,BS37&gt;=1.52)</formula>
    </cfRule>
    <cfRule type="expression" dxfId="162" priority="1144">
      <formula>BS37&gt;=1.82</formula>
    </cfRule>
  </conditionalFormatting>
  <conditionalFormatting sqref="BS46">
    <cfRule type="expression" dxfId="161" priority="16">
      <formula>AND(BS46&lt;1.52,BS46&gt;=1.02)</formula>
    </cfRule>
    <cfRule type="expression" dxfId="160" priority="17">
      <formula>AND(BS46&lt;1.82,BS46&gt;=1.52)</formula>
    </cfRule>
    <cfRule type="expression" dxfId="159" priority="18">
      <formula>BS46&gt;=1.82</formula>
    </cfRule>
  </conditionalFormatting>
  <conditionalFormatting sqref="BS50">
    <cfRule type="expression" dxfId="155" priority="806">
      <formula>AND(BS50&lt;1.52,BS50&gt;=1.02)</formula>
    </cfRule>
    <cfRule type="expression" dxfId="154" priority="807">
      <formula>AND(BS50&lt;1.82,BS50&gt;=1.52)</formula>
    </cfRule>
    <cfRule type="expression" dxfId="153" priority="808">
      <formula>BS50&gt;=1.82</formula>
    </cfRule>
  </conditionalFormatting>
  <conditionalFormatting sqref="BS53">
    <cfRule type="expression" dxfId="152" priority="722">
      <formula>AND(BS53&lt;1.52,BS53&gt;=1.02)</formula>
    </cfRule>
    <cfRule type="expression" dxfId="151" priority="723">
      <formula>AND(BS53&lt;1.82,BS53&gt;=1.52)</formula>
    </cfRule>
    <cfRule type="expression" dxfId="150" priority="724">
      <formula>BS53&gt;=1.82</formula>
    </cfRule>
  </conditionalFormatting>
  <conditionalFormatting sqref="BS59">
    <cfRule type="expression" dxfId="149" priority="389">
      <formula>AND(BS59&lt;1.52,BS59&gt;=1.02)</formula>
    </cfRule>
    <cfRule type="expression" dxfId="148" priority="390">
      <formula>AND(BS59&lt;1.82,BS59&gt;=1.52)</formula>
    </cfRule>
    <cfRule type="expression" dxfId="147" priority="391">
      <formula>BS59&gt;=1.82</formula>
    </cfRule>
  </conditionalFormatting>
  <conditionalFormatting sqref="BS64">
    <cfRule type="expression" dxfId="146" priority="302">
      <formula>AND(BS64&lt;1.52,BS64&gt;=1.02)</formula>
    </cfRule>
    <cfRule type="expression" dxfId="145" priority="303">
      <formula>AND(BS64&lt;1.82,BS64&gt;=1.52)</formula>
    </cfRule>
    <cfRule type="expression" dxfId="144" priority="304">
      <formula>BS64&gt;=1.82</formula>
    </cfRule>
  </conditionalFormatting>
  <conditionalFormatting sqref="BS67">
    <cfRule type="expression" dxfId="143" priority="1511">
      <formula>AND(BS67&lt;1.52,BS67&gt;=1.02)</formula>
    </cfRule>
    <cfRule type="expression" dxfId="142" priority="1512">
      <formula>AND(BS67&lt;1.82,BS67&gt;=1.52)</formula>
    </cfRule>
    <cfRule type="expression" dxfId="141" priority="1513">
      <formula>BS67&gt;=1.82</formula>
    </cfRule>
  </conditionalFormatting>
  <conditionalFormatting sqref="BS70">
    <cfRule type="expression" dxfId="140" priority="218">
      <formula>AND(BS70&lt;1.52,BS70&gt;=1.02)</formula>
    </cfRule>
    <cfRule type="expression" dxfId="139" priority="219">
      <formula>AND(BS70&lt;1.82,BS70&gt;=1.52)</formula>
    </cfRule>
    <cfRule type="expression" dxfId="138" priority="220">
      <formula>BS70&gt;=1.82</formula>
    </cfRule>
  </conditionalFormatting>
  <conditionalFormatting sqref="BV15">
    <cfRule type="expression" dxfId="137" priority="1307">
      <formula>AND(BV15&lt;1.52,BV15&gt;=1.02)</formula>
    </cfRule>
    <cfRule type="expression" dxfId="136" priority="1308">
      <formula>AND(BV15&lt;1.82,BV15&gt;=1.52)</formula>
    </cfRule>
    <cfRule type="expression" dxfId="135" priority="1309">
      <formula>BV15&gt;=1.82</formula>
    </cfRule>
  </conditionalFormatting>
  <conditionalFormatting sqref="BV27">
    <cfRule type="expression" dxfId="134" priority="1223">
      <formula>AND(BV27&lt;1.52,BV27&gt;=1.02)</formula>
    </cfRule>
    <cfRule type="expression" dxfId="133" priority="1224">
      <formula>AND(BV27&lt;1.82,BV27&gt;=1.52)</formula>
    </cfRule>
    <cfRule type="expression" dxfId="132" priority="1225">
      <formula>BV27&gt;=1.82</formula>
    </cfRule>
  </conditionalFormatting>
  <conditionalFormatting sqref="BV37">
    <cfRule type="expression" dxfId="131" priority="1139">
      <formula>AND(BV37&lt;1.52,BV37&gt;=1.02)</formula>
    </cfRule>
    <cfRule type="expression" dxfId="130" priority="1140">
      <formula>AND(BV37&lt;1.82,BV37&gt;=1.52)</formula>
    </cfRule>
    <cfRule type="expression" dxfId="129" priority="1141">
      <formula>BV37&gt;=1.82</formula>
    </cfRule>
  </conditionalFormatting>
  <conditionalFormatting sqref="BV46">
    <cfRule type="expression" dxfId="128" priority="13">
      <formula>AND(BV46&lt;1.52,BV46&gt;=1.02)</formula>
    </cfRule>
    <cfRule type="expression" dxfId="127" priority="14">
      <formula>AND(BV46&lt;1.82,BV46&gt;=1.52)</formula>
    </cfRule>
    <cfRule type="expression" dxfId="126" priority="15">
      <formula>BV46&gt;=1.82</formula>
    </cfRule>
  </conditionalFormatting>
  <conditionalFormatting sqref="BV50">
    <cfRule type="expression" dxfId="122" priority="803">
      <formula>AND(BV50&lt;1.52,BV50&gt;=1.02)</formula>
    </cfRule>
    <cfRule type="expression" dxfId="121" priority="804">
      <formula>AND(BV50&lt;1.82,BV50&gt;=1.52)</formula>
    </cfRule>
    <cfRule type="expression" dxfId="120" priority="805">
      <formula>BV50&gt;=1.82</formula>
    </cfRule>
  </conditionalFormatting>
  <conditionalFormatting sqref="BV53">
    <cfRule type="expression" dxfId="119" priority="719">
      <formula>AND(BV53&lt;1.52,BV53&gt;=1.02)</formula>
    </cfRule>
    <cfRule type="expression" dxfId="118" priority="720">
      <formula>AND(BV53&lt;1.82,BV53&gt;=1.52)</formula>
    </cfRule>
    <cfRule type="expression" dxfId="117" priority="721">
      <formula>BV53&gt;=1.82</formula>
    </cfRule>
  </conditionalFormatting>
  <conditionalFormatting sqref="BV59">
    <cfRule type="expression" dxfId="116" priority="386">
      <formula>AND(BV59&lt;1.52,BV59&gt;=1.02)</formula>
    </cfRule>
    <cfRule type="expression" dxfId="115" priority="387">
      <formula>AND(BV59&lt;1.82,BV59&gt;=1.52)</formula>
    </cfRule>
    <cfRule type="expression" dxfId="114" priority="388">
      <formula>BV59&gt;=1.82</formula>
    </cfRule>
  </conditionalFormatting>
  <conditionalFormatting sqref="BV64">
    <cfRule type="expression" dxfId="113" priority="299">
      <formula>AND(BV64&lt;1.52,BV64&gt;=1.02)</formula>
    </cfRule>
    <cfRule type="expression" dxfId="112" priority="300">
      <formula>AND(BV64&lt;1.82,BV64&gt;=1.52)</formula>
    </cfRule>
    <cfRule type="expression" dxfId="111" priority="301">
      <formula>BV64&gt;=1.82</formula>
    </cfRule>
  </conditionalFormatting>
  <conditionalFormatting sqref="BV67">
    <cfRule type="expression" dxfId="110" priority="1508">
      <formula>AND(BV67&lt;1.52,BV67&gt;=1.02)</formula>
    </cfRule>
    <cfRule type="expression" dxfId="109" priority="1509">
      <formula>AND(BV67&lt;1.82,BV67&gt;=1.52)</formula>
    </cfRule>
    <cfRule type="expression" dxfId="108" priority="1510">
      <formula>BV67&gt;=1.82</formula>
    </cfRule>
  </conditionalFormatting>
  <conditionalFormatting sqref="BV70">
    <cfRule type="expression" dxfId="107" priority="215">
      <formula>AND(BV70&lt;1.52,BV70&gt;=1.02)</formula>
    </cfRule>
    <cfRule type="expression" dxfId="106" priority="216">
      <formula>AND(BV70&lt;1.82,BV70&gt;=1.52)</formula>
    </cfRule>
    <cfRule type="expression" dxfId="105" priority="217">
      <formula>BV70&gt;=1.82</formula>
    </cfRule>
  </conditionalFormatting>
  <conditionalFormatting sqref="BY15">
    <cfRule type="expression" dxfId="104" priority="1304">
      <formula>AND(BY15&lt;1.52,BY15&gt;=1.02)</formula>
    </cfRule>
    <cfRule type="expression" dxfId="103" priority="1305">
      <formula>AND(BY15&lt;1.82,BY15&gt;=1.52)</formula>
    </cfRule>
    <cfRule type="expression" dxfId="102" priority="1306">
      <formula>BY15&gt;=1.82</formula>
    </cfRule>
  </conditionalFormatting>
  <conditionalFormatting sqref="BY27">
    <cfRule type="expression" dxfId="101" priority="1220">
      <formula>AND(BY27&lt;1.52,BY27&gt;=1.02)</formula>
    </cfRule>
    <cfRule type="expression" dxfId="100" priority="1221">
      <formula>AND(BY27&lt;1.82,BY27&gt;=1.52)</formula>
    </cfRule>
    <cfRule type="expression" dxfId="99" priority="1222">
      <formula>BY27&gt;=1.82</formula>
    </cfRule>
  </conditionalFormatting>
  <conditionalFormatting sqref="BY37">
    <cfRule type="expression" dxfId="98" priority="1136">
      <formula>AND(BY37&lt;1.52,BY37&gt;=1.02)</formula>
    </cfRule>
    <cfRule type="expression" dxfId="97" priority="1137">
      <formula>AND(BY37&lt;1.82,BY37&gt;=1.52)</formula>
    </cfRule>
    <cfRule type="expression" dxfId="96" priority="1138">
      <formula>BY37&gt;=1.82</formula>
    </cfRule>
  </conditionalFormatting>
  <conditionalFormatting sqref="BY46">
    <cfRule type="expression" dxfId="95" priority="10">
      <formula>AND(BY46&lt;1.52,BY46&gt;=1.02)</formula>
    </cfRule>
    <cfRule type="expression" dxfId="94" priority="11">
      <formula>AND(BY46&lt;1.82,BY46&gt;=1.52)</formula>
    </cfRule>
    <cfRule type="expression" dxfId="93" priority="12">
      <formula>BY46&gt;=1.82</formula>
    </cfRule>
  </conditionalFormatting>
  <conditionalFormatting sqref="BY50">
    <cfRule type="expression" dxfId="89" priority="800">
      <formula>AND(BY50&lt;1.52,BY50&gt;=1.02)</formula>
    </cfRule>
    <cfRule type="expression" dxfId="88" priority="801">
      <formula>AND(BY50&lt;1.82,BY50&gt;=1.52)</formula>
    </cfRule>
    <cfRule type="expression" dxfId="87" priority="802">
      <formula>BY50&gt;=1.82</formula>
    </cfRule>
  </conditionalFormatting>
  <conditionalFormatting sqref="BY53">
    <cfRule type="expression" dxfId="86" priority="716">
      <formula>AND(BY53&lt;1.52,BY53&gt;=1.02)</formula>
    </cfRule>
    <cfRule type="expression" dxfId="85" priority="717">
      <formula>AND(BY53&lt;1.82,BY53&gt;=1.52)</formula>
    </cfRule>
    <cfRule type="expression" dxfId="84" priority="718">
      <formula>BY53&gt;=1.82</formula>
    </cfRule>
  </conditionalFormatting>
  <conditionalFormatting sqref="BY59">
    <cfRule type="expression" dxfId="83" priority="383">
      <formula>AND(BY59&lt;1.52,BY59&gt;=1.02)</formula>
    </cfRule>
    <cfRule type="expression" dxfId="82" priority="384">
      <formula>AND(BY59&lt;1.82,BY59&gt;=1.52)</formula>
    </cfRule>
    <cfRule type="expression" dxfId="81" priority="385">
      <formula>BY59&gt;=1.82</formula>
    </cfRule>
  </conditionalFormatting>
  <conditionalFormatting sqref="BY64">
    <cfRule type="expression" dxfId="80" priority="296">
      <formula>AND(BY64&lt;1.52,BY64&gt;=1.02)</formula>
    </cfRule>
    <cfRule type="expression" dxfId="79" priority="297">
      <formula>AND(BY64&lt;1.82,BY64&gt;=1.52)</formula>
    </cfRule>
    <cfRule type="expression" dxfId="78" priority="298">
      <formula>BY64&gt;=1.82</formula>
    </cfRule>
  </conditionalFormatting>
  <conditionalFormatting sqref="BY67">
    <cfRule type="expression" dxfId="77" priority="1505">
      <formula>AND(BY67&lt;1.52,BY67&gt;=1.02)</formula>
    </cfRule>
    <cfRule type="expression" dxfId="76" priority="1506">
      <formula>AND(BY67&lt;1.82,BY67&gt;=1.52)</formula>
    </cfRule>
    <cfRule type="expression" dxfId="75" priority="1507">
      <formula>BY67&gt;=1.82</formula>
    </cfRule>
  </conditionalFormatting>
  <conditionalFormatting sqref="BY70">
    <cfRule type="expression" dxfId="74" priority="212">
      <formula>AND(BY70&lt;1.52,BY70&gt;=1.02)</formula>
    </cfRule>
    <cfRule type="expression" dxfId="73" priority="213">
      <formula>AND(BY70&lt;1.82,BY70&gt;=1.52)</formula>
    </cfRule>
    <cfRule type="expression" dxfId="72" priority="214">
      <formula>BY70&gt;=1.82</formula>
    </cfRule>
  </conditionalFormatting>
  <conditionalFormatting sqref="CB15">
    <cfRule type="expression" dxfId="71" priority="1301">
      <formula>AND(CB15&lt;1.52,CB15&gt;=1.02)</formula>
    </cfRule>
    <cfRule type="expression" dxfId="70" priority="1302">
      <formula>AND(CB15&lt;1.82,CB15&gt;=1.52)</formula>
    </cfRule>
    <cfRule type="expression" dxfId="69" priority="1303">
      <formula>CB15&gt;=1.82</formula>
    </cfRule>
  </conditionalFormatting>
  <conditionalFormatting sqref="CB27">
    <cfRule type="expression" dxfId="68" priority="1217">
      <formula>AND(CB27&lt;1.52,CB27&gt;=1.02)</formula>
    </cfRule>
    <cfRule type="expression" dxfId="67" priority="1218">
      <formula>AND(CB27&lt;1.82,CB27&gt;=1.52)</formula>
    </cfRule>
    <cfRule type="expression" dxfId="66" priority="1219">
      <formula>CB27&gt;=1.82</formula>
    </cfRule>
  </conditionalFormatting>
  <conditionalFormatting sqref="CB37">
    <cfRule type="expression" dxfId="65" priority="1133">
      <formula>AND(CB37&lt;1.52,CB37&gt;=1.02)</formula>
    </cfRule>
    <cfRule type="expression" dxfId="64" priority="1134">
      <formula>AND(CB37&lt;1.82,CB37&gt;=1.52)</formula>
    </cfRule>
    <cfRule type="expression" dxfId="63" priority="1135">
      <formula>CB37&gt;=1.82</formula>
    </cfRule>
  </conditionalFormatting>
  <conditionalFormatting sqref="CB46">
    <cfRule type="expression" dxfId="62" priority="7">
      <formula>AND(CB46&lt;1.52,CB46&gt;=1.02)</formula>
    </cfRule>
    <cfRule type="expression" dxfId="61" priority="8">
      <formula>AND(CB46&lt;1.82,CB46&gt;=1.52)</formula>
    </cfRule>
    <cfRule type="expression" dxfId="60" priority="9">
      <formula>CB46&gt;=1.82</formula>
    </cfRule>
  </conditionalFormatting>
  <conditionalFormatting sqref="CB50">
    <cfRule type="expression" dxfId="56" priority="797">
      <formula>AND(CB50&lt;1.52,CB50&gt;=1.02)</formula>
    </cfRule>
    <cfRule type="expression" dxfId="55" priority="798">
      <formula>AND(CB50&lt;1.82,CB50&gt;=1.52)</formula>
    </cfRule>
    <cfRule type="expression" dxfId="54" priority="799">
      <formula>CB50&gt;=1.82</formula>
    </cfRule>
  </conditionalFormatting>
  <conditionalFormatting sqref="CB53">
    <cfRule type="expression" dxfId="53" priority="713">
      <formula>AND(CB53&lt;1.52,CB53&gt;=1.02)</formula>
    </cfRule>
    <cfRule type="expression" dxfId="52" priority="714">
      <formula>AND(CB53&lt;1.82,CB53&gt;=1.52)</formula>
    </cfRule>
    <cfRule type="expression" dxfId="51" priority="715">
      <formula>CB53&gt;=1.82</formula>
    </cfRule>
  </conditionalFormatting>
  <conditionalFormatting sqref="CB59">
    <cfRule type="expression" dxfId="50" priority="380">
      <formula>AND(CB59&lt;1.52,CB59&gt;=1.02)</formula>
    </cfRule>
    <cfRule type="expression" dxfId="49" priority="381">
      <formula>AND(CB59&lt;1.82,CB59&gt;=1.52)</formula>
    </cfRule>
    <cfRule type="expression" dxfId="48" priority="382">
      <formula>CB59&gt;=1.82</formula>
    </cfRule>
  </conditionalFormatting>
  <conditionalFormatting sqref="CB64">
    <cfRule type="expression" dxfId="47" priority="293">
      <formula>AND(CB64&lt;1.52,CB64&gt;=1.02)</formula>
    </cfRule>
    <cfRule type="expression" dxfId="46" priority="294">
      <formula>AND(CB64&lt;1.82,CB64&gt;=1.52)</formula>
    </cfRule>
    <cfRule type="expression" dxfId="45" priority="295">
      <formula>CB64&gt;=1.82</formula>
    </cfRule>
  </conditionalFormatting>
  <conditionalFormatting sqref="CB67">
    <cfRule type="expression" dxfId="44" priority="1502">
      <formula>AND(CB67&lt;1.52,CB67&gt;=1.02)</formula>
    </cfRule>
    <cfRule type="expression" dxfId="43" priority="1503">
      <formula>AND(CB67&lt;1.82,CB67&gt;=1.52)</formula>
    </cfRule>
    <cfRule type="expression" dxfId="42" priority="1504">
      <formula>CB67&gt;=1.82</formula>
    </cfRule>
  </conditionalFormatting>
  <conditionalFormatting sqref="CB70">
    <cfRule type="expression" dxfId="41" priority="209">
      <formula>AND(CB70&lt;1.52,CB70&gt;=1.02)</formula>
    </cfRule>
    <cfRule type="expression" dxfId="40" priority="210">
      <formula>AND(CB70&lt;1.82,CB70&gt;=1.52)</formula>
    </cfRule>
    <cfRule type="expression" dxfId="39" priority="211">
      <formula>CB70&gt;=1.82</formula>
    </cfRule>
  </conditionalFormatting>
  <conditionalFormatting sqref="CE15">
    <cfRule type="expression" dxfId="38" priority="1298">
      <formula>AND(CE15&lt;1.52,CE15&gt;=1.02)</formula>
    </cfRule>
    <cfRule type="expression" dxfId="37" priority="1299">
      <formula>AND(CE15&lt;1.82,CE15&gt;=1.52)</formula>
    </cfRule>
    <cfRule type="expression" dxfId="36" priority="1300">
      <formula>CE15&gt;=1.82</formula>
    </cfRule>
  </conditionalFormatting>
  <conditionalFormatting sqref="CE27">
    <cfRule type="expression" dxfId="35" priority="1214">
      <formula>AND(CE27&lt;1.52,CE27&gt;=1.02)</formula>
    </cfRule>
    <cfRule type="expression" dxfId="34" priority="1215">
      <formula>AND(CE27&lt;1.82,CE27&gt;=1.52)</formula>
    </cfRule>
    <cfRule type="expression" dxfId="33" priority="1216">
      <formula>CE27&gt;=1.82</formula>
    </cfRule>
  </conditionalFormatting>
  <conditionalFormatting sqref="CE37">
    <cfRule type="expression" dxfId="32" priority="1130">
      <formula>AND(CE37&lt;1.52,CE37&gt;=1.02)</formula>
    </cfRule>
    <cfRule type="expression" dxfId="31" priority="1131">
      <formula>AND(CE37&lt;1.82,CE37&gt;=1.52)</formula>
    </cfRule>
    <cfRule type="expression" dxfId="30" priority="1132">
      <formula>CE37&gt;=1.82</formula>
    </cfRule>
  </conditionalFormatting>
  <conditionalFormatting sqref="CE46">
    <cfRule type="expression" dxfId="29" priority="4">
      <formula>AND(CE46&lt;1.52,CE46&gt;=1.02)</formula>
    </cfRule>
    <cfRule type="expression" dxfId="28" priority="5">
      <formula>AND(CE46&lt;1.82,CE46&gt;=1.52)</formula>
    </cfRule>
    <cfRule type="expression" dxfId="27" priority="6">
      <formula>CE46&gt;=1.82</formula>
    </cfRule>
  </conditionalFormatting>
  <conditionalFormatting sqref="CE50">
    <cfRule type="expression" dxfId="23" priority="794">
      <formula>AND(CE50&lt;1.52,CE50&gt;=1.02)</formula>
    </cfRule>
    <cfRule type="expression" dxfId="22" priority="795">
      <formula>AND(CE50&lt;1.82,CE50&gt;=1.52)</formula>
    </cfRule>
    <cfRule type="expression" dxfId="21" priority="796">
      <formula>CE50&gt;=1.82</formula>
    </cfRule>
  </conditionalFormatting>
  <conditionalFormatting sqref="CE53">
    <cfRule type="expression" dxfId="20" priority="710">
      <formula>AND(CE53&lt;1.52,CE53&gt;=1.02)</formula>
    </cfRule>
    <cfRule type="expression" dxfId="19" priority="711">
      <formula>AND(CE53&lt;1.82,CE53&gt;=1.52)</formula>
    </cfRule>
    <cfRule type="expression" dxfId="18" priority="712">
      <formula>CE53&gt;=1.82</formula>
    </cfRule>
  </conditionalFormatting>
  <conditionalFormatting sqref="CE59">
    <cfRule type="expression" dxfId="17" priority="377">
      <formula>AND(CE59&lt;1.52,CE59&gt;=1.02)</formula>
    </cfRule>
    <cfRule type="expression" dxfId="16" priority="378">
      <formula>AND(CE59&lt;1.82,CE59&gt;=1.52)</formula>
    </cfRule>
    <cfRule type="expression" dxfId="15" priority="379">
      <formula>CE59&gt;=1.82</formula>
    </cfRule>
  </conditionalFormatting>
  <conditionalFormatting sqref="CE64">
    <cfRule type="expression" dxfId="14" priority="290">
      <formula>AND(CE64&lt;1.52,CE64&gt;=1.02)</formula>
    </cfRule>
    <cfRule type="expression" dxfId="13" priority="291">
      <formula>AND(CE64&lt;1.82,CE64&gt;=1.52)</formula>
    </cfRule>
    <cfRule type="expression" dxfId="12" priority="292">
      <formula>CE64&gt;=1.82</formula>
    </cfRule>
  </conditionalFormatting>
  <conditionalFormatting sqref="CE67">
    <cfRule type="expression" dxfId="11" priority="1499">
      <formula>AND(CE67&lt;1.52,CE67&gt;=1.02)</formula>
    </cfRule>
    <cfRule type="expression" dxfId="10" priority="1500">
      <formula>AND(CE67&lt;1.82,CE67&gt;=1.52)</formula>
    </cfRule>
    <cfRule type="expression" dxfId="9" priority="1501">
      <formula>CE67&gt;=1.82</formula>
    </cfRule>
  </conditionalFormatting>
  <conditionalFormatting sqref="CE70">
    <cfRule type="expression" dxfId="8" priority="206">
      <formula>AND(CE70&lt;1.52,CE70&gt;=1.02)</formula>
    </cfRule>
    <cfRule type="expression" dxfId="7" priority="207">
      <formula>AND(CE70&lt;1.82,CE70&gt;=1.52)</formula>
    </cfRule>
    <cfRule type="expression" dxfId="6" priority="208">
      <formula>CE70&gt;=1.82</formula>
    </cfRule>
  </conditionalFormatting>
  <conditionalFormatting sqref="CF47:CH47">
    <cfRule type="expression" dxfId="5" priority="461">
      <formula>AND(CF47&lt;1.52,CF47&gt;=1.02)</formula>
    </cfRule>
    <cfRule type="expression" dxfId="4" priority="462">
      <formula>AND(CF47&lt;1.82,CF47&gt;=1.52)</formula>
    </cfRule>
    <cfRule type="expression" dxfId="3" priority="463">
      <formula>CF47&gt;=1.82</formula>
    </cfRule>
  </conditionalFormatting>
  <conditionalFormatting sqref="CF74:CH74">
    <cfRule type="expression" dxfId="2" priority="118">
      <formula>AND(CF74&lt;1.52,CF74&gt;=1.02)</formula>
    </cfRule>
    <cfRule type="expression" dxfId="1" priority="119">
      <formula>AND(CF74&lt;1.82,CF74&gt;=1.52)</formula>
    </cfRule>
    <cfRule type="expression" dxfId="0" priority="120">
      <formula>CF74&gt;=1.82</formula>
    </cfRule>
  </conditionalFormatting>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T31"/>
  <sheetViews>
    <sheetView topLeftCell="C10" zoomScale="85" zoomScaleNormal="85" workbookViewId="0">
      <selection activeCell="F12" sqref="F12:K21"/>
    </sheetView>
  </sheetViews>
  <sheetFormatPr defaultRowHeight="15" x14ac:dyDescent="0.25"/>
  <cols>
    <col min="2" max="14" width="13.42578125" bestFit="1" customWidth="1"/>
    <col min="15" max="15" width="11.5703125" bestFit="1" customWidth="1"/>
  </cols>
  <sheetData>
    <row r="1" spans="1:72" x14ac:dyDescent="0.25">
      <c r="B1">
        <v>1</v>
      </c>
      <c r="C1">
        <v>2</v>
      </c>
      <c r="D1">
        <v>3</v>
      </c>
      <c r="E1">
        <v>4</v>
      </c>
      <c r="F1">
        <v>5</v>
      </c>
      <c r="G1">
        <v>6</v>
      </c>
      <c r="H1">
        <v>7</v>
      </c>
      <c r="I1">
        <v>8</v>
      </c>
      <c r="J1">
        <v>9</v>
      </c>
      <c r="K1">
        <v>10</v>
      </c>
      <c r="L1">
        <v>11</v>
      </c>
      <c r="M1">
        <v>12</v>
      </c>
      <c r="N1">
        <v>13</v>
      </c>
      <c r="O1">
        <v>14</v>
      </c>
      <c r="P1">
        <v>15</v>
      </c>
      <c r="Q1">
        <v>16</v>
      </c>
      <c r="R1">
        <v>17</v>
      </c>
      <c r="S1">
        <v>18</v>
      </c>
      <c r="T1">
        <v>19</v>
      </c>
      <c r="U1">
        <v>20</v>
      </c>
    </row>
    <row r="2" spans="1:72" x14ac:dyDescent="0.25">
      <c r="A2">
        <v>5</v>
      </c>
      <c r="B2" s="70">
        <v>7</v>
      </c>
      <c r="C2" s="70">
        <v>10</v>
      </c>
      <c r="D2" s="70">
        <v>4</v>
      </c>
      <c r="E2" s="70">
        <v>14</v>
      </c>
      <c r="F2" s="70">
        <v>11</v>
      </c>
      <c r="G2" s="70">
        <v>4</v>
      </c>
      <c r="H2" s="70">
        <v>8</v>
      </c>
      <c r="I2" s="70">
        <v>10</v>
      </c>
      <c r="J2" s="70">
        <v>7</v>
      </c>
      <c r="K2" s="70">
        <v>9</v>
      </c>
      <c r="L2" s="73"/>
      <c r="M2" s="73"/>
      <c r="N2" s="73"/>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1"/>
      <c r="BQ2" s="60"/>
      <c r="BR2" s="60"/>
      <c r="BS2" s="61"/>
      <c r="BT2" s="60"/>
    </row>
    <row r="3" spans="1:72" x14ac:dyDescent="0.25">
      <c r="A3" t="s">
        <v>12</v>
      </c>
      <c r="B3" s="68">
        <v>26.923076923076923</v>
      </c>
      <c r="C3" s="68">
        <v>38.461538461538467</v>
      </c>
      <c r="D3" s="68">
        <v>16</v>
      </c>
      <c r="E3" s="68">
        <v>53.846153846153847</v>
      </c>
      <c r="F3" s="68">
        <v>42.307692307692307</v>
      </c>
      <c r="G3" s="68">
        <v>15.384615384615385</v>
      </c>
      <c r="H3" s="68">
        <v>30.76923076923077</v>
      </c>
      <c r="I3" s="68">
        <v>38.461538461538467</v>
      </c>
      <c r="J3" s="68">
        <v>26.923076923076923</v>
      </c>
      <c r="K3" s="68">
        <v>33.333333333333329</v>
      </c>
      <c r="L3" s="73"/>
      <c r="M3" s="73"/>
      <c r="N3" s="73"/>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61"/>
      <c r="BQ3" s="59"/>
      <c r="BR3" s="59"/>
      <c r="BS3" s="61"/>
      <c r="BT3" s="59"/>
    </row>
    <row r="4" spans="1:72" x14ac:dyDescent="0.25">
      <c r="A4">
        <v>4</v>
      </c>
      <c r="B4" s="71">
        <v>10</v>
      </c>
      <c r="C4" s="71">
        <v>11</v>
      </c>
      <c r="D4" s="71">
        <v>12</v>
      </c>
      <c r="E4" s="71">
        <v>9</v>
      </c>
      <c r="F4" s="71">
        <v>8</v>
      </c>
      <c r="G4" s="71">
        <v>12</v>
      </c>
      <c r="H4" s="71">
        <v>7</v>
      </c>
      <c r="I4" s="71">
        <v>9</v>
      </c>
      <c r="J4" s="71">
        <v>13</v>
      </c>
      <c r="K4" s="71">
        <v>10</v>
      </c>
      <c r="L4" s="73"/>
      <c r="M4" s="73"/>
      <c r="N4" s="73"/>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1"/>
      <c r="BQ4" s="60"/>
      <c r="BR4" s="60"/>
      <c r="BS4" s="61"/>
      <c r="BT4" s="60"/>
    </row>
    <row r="5" spans="1:72" x14ac:dyDescent="0.25">
      <c r="A5" t="s">
        <v>12</v>
      </c>
      <c r="B5" s="68">
        <v>38.461538461538467</v>
      </c>
      <c r="C5" s="68">
        <v>42.307692307692307</v>
      </c>
      <c r="D5" s="68">
        <v>48</v>
      </c>
      <c r="E5" s="68">
        <v>34.615384615384613</v>
      </c>
      <c r="F5" s="68">
        <v>30.76923076923077</v>
      </c>
      <c r="G5" s="68">
        <v>46.153846153846153</v>
      </c>
      <c r="H5" s="68">
        <v>26.923076923076923</v>
      </c>
      <c r="I5" s="68">
        <v>34.615384615384613</v>
      </c>
      <c r="J5" s="68">
        <v>50</v>
      </c>
      <c r="K5" s="68">
        <v>37.037037037037038</v>
      </c>
      <c r="L5" s="73"/>
      <c r="M5" s="73"/>
      <c r="N5" s="73"/>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61"/>
      <c r="BQ5" s="59"/>
      <c r="BR5" s="59"/>
      <c r="BS5" s="61"/>
      <c r="BT5" s="59"/>
    </row>
    <row r="6" spans="1:72" x14ac:dyDescent="0.25">
      <c r="A6">
        <v>3</v>
      </c>
      <c r="B6" s="72">
        <v>9</v>
      </c>
      <c r="C6" s="72">
        <v>5</v>
      </c>
      <c r="D6" s="72">
        <v>9</v>
      </c>
      <c r="E6" s="72">
        <v>3</v>
      </c>
      <c r="F6" s="72">
        <v>7</v>
      </c>
      <c r="G6" s="72">
        <v>10</v>
      </c>
      <c r="H6" s="72">
        <v>11</v>
      </c>
      <c r="I6" s="72">
        <v>7</v>
      </c>
      <c r="J6" s="72">
        <v>6</v>
      </c>
      <c r="K6" s="72">
        <v>8</v>
      </c>
      <c r="L6" s="73"/>
      <c r="M6" s="73"/>
      <c r="N6" s="73"/>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c r="BN6" s="60"/>
      <c r="BO6" s="60"/>
      <c r="BP6" s="61"/>
      <c r="BQ6" s="60"/>
      <c r="BR6" s="60"/>
      <c r="BS6" s="61"/>
      <c r="BT6" s="60"/>
    </row>
    <row r="7" spans="1:72" x14ac:dyDescent="0.25">
      <c r="A7" t="s">
        <v>12</v>
      </c>
      <c r="B7" s="68">
        <v>34.615384615384613</v>
      </c>
      <c r="C7" s="68">
        <v>19.230769230769234</v>
      </c>
      <c r="D7" s="68">
        <v>36</v>
      </c>
      <c r="E7" s="68">
        <v>11.538461538461538</v>
      </c>
      <c r="F7" s="68">
        <v>26.923076923076923</v>
      </c>
      <c r="G7" s="68">
        <v>38.461538461538467</v>
      </c>
      <c r="H7" s="68">
        <v>42.307692307692307</v>
      </c>
      <c r="I7" s="68">
        <v>26.923076923076923</v>
      </c>
      <c r="J7" s="68">
        <v>23.076923076923077</v>
      </c>
      <c r="K7" s="68">
        <v>29.629629629629626</v>
      </c>
      <c r="L7" s="73"/>
      <c r="M7" s="73"/>
      <c r="N7" s="73"/>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61"/>
      <c r="BQ7" s="59"/>
      <c r="BR7" s="59"/>
      <c r="BS7" s="61"/>
      <c r="BT7" s="59"/>
    </row>
    <row r="8" spans="1:72" ht="18" x14ac:dyDescent="0.25">
      <c r="B8" s="69">
        <v>100</v>
      </c>
      <c r="C8" s="69">
        <v>100</v>
      </c>
      <c r="D8" s="69">
        <v>100</v>
      </c>
      <c r="E8" s="69">
        <v>99.999999999999986</v>
      </c>
      <c r="F8" s="69">
        <v>100</v>
      </c>
      <c r="G8" s="69">
        <v>100</v>
      </c>
      <c r="H8" s="69">
        <v>100</v>
      </c>
      <c r="I8" s="69">
        <v>100</v>
      </c>
      <c r="J8" s="69">
        <v>100</v>
      </c>
      <c r="K8" s="69">
        <v>100</v>
      </c>
      <c r="L8" s="73"/>
      <c r="M8" s="73"/>
      <c r="N8" s="73"/>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7"/>
      <c r="BQ8" s="58"/>
      <c r="BR8" s="58"/>
      <c r="BS8" s="57"/>
      <c r="BT8" s="58"/>
    </row>
    <row r="11" spans="1:72" x14ac:dyDescent="0.25">
      <c r="F11">
        <v>5</v>
      </c>
      <c r="G11" t="s">
        <v>12</v>
      </c>
      <c r="H11">
        <v>4</v>
      </c>
      <c r="I11" t="s">
        <v>12</v>
      </c>
      <c r="J11">
        <v>3</v>
      </c>
      <c r="K11" t="s">
        <v>12</v>
      </c>
    </row>
    <row r="12" spans="1:72" x14ac:dyDescent="0.25">
      <c r="E12">
        <v>1</v>
      </c>
      <c r="F12" s="74">
        <v>7</v>
      </c>
      <c r="G12" s="75">
        <v>26.923076923076923</v>
      </c>
      <c r="H12" s="76">
        <v>10</v>
      </c>
      <c r="I12" s="75">
        <v>38.461538461538467</v>
      </c>
      <c r="J12" s="77">
        <v>9</v>
      </c>
      <c r="K12" s="75">
        <v>34.615384615384613</v>
      </c>
      <c r="L12" s="75">
        <v>100</v>
      </c>
    </row>
    <row r="13" spans="1:72" x14ac:dyDescent="0.25">
      <c r="E13">
        <v>2</v>
      </c>
      <c r="F13" s="74">
        <v>10</v>
      </c>
      <c r="G13" s="75">
        <v>38.461538461538467</v>
      </c>
      <c r="H13" s="76">
        <v>11</v>
      </c>
      <c r="I13" s="75">
        <v>42.307692307692307</v>
      </c>
      <c r="J13" s="77">
        <v>5</v>
      </c>
      <c r="K13" s="75">
        <v>19.230769230769234</v>
      </c>
      <c r="L13" s="75">
        <v>100</v>
      </c>
    </row>
    <row r="14" spans="1:72" x14ac:dyDescent="0.25">
      <c r="E14">
        <v>3</v>
      </c>
      <c r="F14" s="74">
        <v>4</v>
      </c>
      <c r="G14" s="75">
        <v>16</v>
      </c>
      <c r="H14" s="76">
        <v>12</v>
      </c>
      <c r="I14" s="75">
        <v>48</v>
      </c>
      <c r="J14" s="77">
        <v>9</v>
      </c>
      <c r="K14" s="75">
        <v>36</v>
      </c>
      <c r="L14" s="75">
        <v>100</v>
      </c>
    </row>
    <row r="15" spans="1:72" x14ac:dyDescent="0.25">
      <c r="E15">
        <v>4</v>
      </c>
      <c r="F15" s="74">
        <v>14</v>
      </c>
      <c r="G15" s="75">
        <v>53.846153846153847</v>
      </c>
      <c r="H15" s="76">
        <v>9</v>
      </c>
      <c r="I15" s="75">
        <v>34.615384615384613</v>
      </c>
      <c r="J15" s="77">
        <v>3</v>
      </c>
      <c r="K15" s="75">
        <v>11.538461538461538</v>
      </c>
      <c r="L15" s="75">
        <v>99.999999999999986</v>
      </c>
    </row>
    <row r="16" spans="1:72" x14ac:dyDescent="0.25">
      <c r="E16">
        <v>5</v>
      </c>
      <c r="F16" s="74">
        <v>11</v>
      </c>
      <c r="G16" s="75">
        <v>42.307692307692307</v>
      </c>
      <c r="H16" s="76">
        <v>8</v>
      </c>
      <c r="I16" s="75">
        <v>30.76923076923077</v>
      </c>
      <c r="J16" s="77">
        <v>7</v>
      </c>
      <c r="K16" s="75">
        <v>26.923076923076923</v>
      </c>
      <c r="L16" s="75">
        <v>100</v>
      </c>
    </row>
    <row r="17" spans="2:12" x14ac:dyDescent="0.25">
      <c r="E17">
        <v>6</v>
      </c>
      <c r="F17" s="74">
        <v>4</v>
      </c>
      <c r="G17" s="75">
        <v>15.384615384615385</v>
      </c>
      <c r="H17" s="76">
        <v>12</v>
      </c>
      <c r="I17" s="75">
        <v>46.153846153846153</v>
      </c>
      <c r="J17" s="77">
        <v>10</v>
      </c>
      <c r="K17" s="75">
        <v>38.461538461538467</v>
      </c>
      <c r="L17" s="75">
        <v>100</v>
      </c>
    </row>
    <row r="18" spans="2:12" x14ac:dyDescent="0.25">
      <c r="E18">
        <v>7</v>
      </c>
      <c r="F18" s="74">
        <v>8</v>
      </c>
      <c r="G18" s="75">
        <v>30.76923076923077</v>
      </c>
      <c r="H18" s="76">
        <v>7</v>
      </c>
      <c r="I18" s="75">
        <v>26.923076923076923</v>
      </c>
      <c r="J18" s="77">
        <v>11</v>
      </c>
      <c r="K18" s="75">
        <v>42.307692307692307</v>
      </c>
      <c r="L18" s="75">
        <v>100</v>
      </c>
    </row>
    <row r="19" spans="2:12" x14ac:dyDescent="0.25">
      <c r="E19">
        <v>8</v>
      </c>
      <c r="F19" s="74">
        <v>10</v>
      </c>
      <c r="G19" s="75">
        <v>38.461538461538467</v>
      </c>
      <c r="H19" s="76">
        <v>9</v>
      </c>
      <c r="I19" s="75">
        <v>34.615384615384613</v>
      </c>
      <c r="J19" s="77">
        <v>7</v>
      </c>
      <c r="K19" s="75">
        <v>26.923076923076923</v>
      </c>
      <c r="L19" s="75">
        <v>100</v>
      </c>
    </row>
    <row r="20" spans="2:12" x14ac:dyDescent="0.25">
      <c r="E20">
        <v>9</v>
      </c>
      <c r="F20" s="74">
        <v>7</v>
      </c>
      <c r="G20" s="75">
        <v>26.923076923076923</v>
      </c>
      <c r="H20" s="76">
        <v>13</v>
      </c>
      <c r="I20" s="75">
        <v>50</v>
      </c>
      <c r="J20" s="77">
        <v>6</v>
      </c>
      <c r="K20" s="75">
        <v>23.076923076923077</v>
      </c>
      <c r="L20" s="75">
        <v>100</v>
      </c>
    </row>
    <row r="21" spans="2:12" x14ac:dyDescent="0.25">
      <c r="E21">
        <v>10</v>
      </c>
      <c r="F21" s="74">
        <v>9</v>
      </c>
      <c r="G21" s="75">
        <v>33.333333333333329</v>
      </c>
      <c r="H21" s="76">
        <v>10</v>
      </c>
      <c r="I21" s="75">
        <v>37.037037037037038</v>
      </c>
      <c r="J21" s="77">
        <v>8</v>
      </c>
      <c r="K21" s="75">
        <v>29.629629629629626</v>
      </c>
      <c r="L21" s="75">
        <v>100</v>
      </c>
    </row>
    <row r="22" spans="2:12" x14ac:dyDescent="0.25">
      <c r="E22">
        <v>11</v>
      </c>
      <c r="F22" s="73"/>
      <c r="G22" s="78"/>
      <c r="H22" s="73"/>
      <c r="I22" s="78"/>
      <c r="J22" s="73"/>
      <c r="K22" s="78"/>
      <c r="L22" s="56">
        <v>100</v>
      </c>
    </row>
    <row r="23" spans="2:12" x14ac:dyDescent="0.25">
      <c r="E23">
        <v>12</v>
      </c>
      <c r="F23" s="73"/>
      <c r="G23" s="78"/>
      <c r="H23" s="73"/>
      <c r="I23" s="78"/>
      <c r="J23" s="73"/>
      <c r="K23" s="78"/>
      <c r="L23" s="56">
        <v>99.999999999999986</v>
      </c>
    </row>
    <row r="24" spans="2:12" x14ac:dyDescent="0.25">
      <c r="E24">
        <v>13</v>
      </c>
      <c r="F24" s="73"/>
      <c r="G24" s="78"/>
      <c r="H24" s="73"/>
      <c r="I24" s="78"/>
      <c r="J24" s="73"/>
      <c r="K24" s="78"/>
      <c r="L24" s="56">
        <v>100</v>
      </c>
    </row>
    <row r="25" spans="2:12" x14ac:dyDescent="0.25">
      <c r="E25" s="14">
        <v>14</v>
      </c>
      <c r="G25" s="13"/>
      <c r="I25" s="13"/>
      <c r="K25" s="13"/>
    </row>
    <row r="26" spans="2:12" x14ac:dyDescent="0.25">
      <c r="E26" s="14">
        <v>15</v>
      </c>
      <c r="G26" s="13"/>
      <c r="I26" s="13"/>
      <c r="K26" s="13"/>
    </row>
    <row r="27" spans="2:12" x14ac:dyDescent="0.25">
      <c r="E27" s="14">
        <v>16</v>
      </c>
      <c r="G27" s="13"/>
      <c r="I27" s="13"/>
      <c r="K27" s="13"/>
    </row>
    <row r="28" spans="2:12" x14ac:dyDescent="0.25">
      <c r="E28" s="14">
        <v>17</v>
      </c>
      <c r="G28" s="13"/>
      <c r="I28" s="13"/>
      <c r="K28" s="13"/>
    </row>
    <row r="29" spans="2:12" x14ac:dyDescent="0.25">
      <c r="E29" s="14">
        <v>18</v>
      </c>
      <c r="G29" s="13"/>
      <c r="I29" s="13"/>
      <c r="K29" s="13"/>
    </row>
    <row r="30" spans="2:12" x14ac:dyDescent="0.25">
      <c r="E30" s="14">
        <v>19</v>
      </c>
      <c r="G30" s="13"/>
      <c r="I30" s="13"/>
      <c r="K30" s="13"/>
    </row>
    <row r="31" spans="2:12" x14ac:dyDescent="0.25">
      <c r="B31" s="15"/>
      <c r="E31" s="14">
        <v>20</v>
      </c>
      <c r="G31" s="13"/>
      <c r="I31" s="13"/>
      <c r="K31" s="13"/>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E8D673-2070-49FC-A434-28C97B146A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Уровень сфори. ОК и ПК</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2026-04-30T07:34:00Z</dcterms:modified>
</cp:coreProperties>
</file>